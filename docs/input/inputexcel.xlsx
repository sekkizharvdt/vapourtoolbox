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kki\SSOT_EXCEL\Inputs\"/>
    </mc:Choice>
  </mc:AlternateContent>
  <xr:revisionPtr revIDLastSave="0" documentId="13_ncr:1_{B48342E6-D3CA-4EC4-9E7E-8E9C58117CD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TA_DICTIONARY" sheetId="1" r:id="rId1"/>
    <sheet name="INPUT_DATA" sheetId="2" r:id="rId2"/>
    <sheet name="LIST_OF_EQUIPMENT" sheetId="3" r:id="rId3"/>
    <sheet name="LIST OF LINES" sheetId="4" r:id="rId4"/>
    <sheet name="LIST OF INSTRUMENTS" sheetId="5" r:id="rId5"/>
    <sheet name="LIST OF VALVES" sheetId="6" r:id="rId6"/>
    <sheet name="Pipe Table" sheetId="7" r:id="rId7"/>
    <sheet name="FluidList" sheetId="8" state="hidden" r:id="rId8"/>
  </sheets>
  <externalReferences>
    <externalReference r:id="rId9"/>
  </externalReferences>
  <definedNames>
    <definedName name="Checking">#REF!</definedName>
    <definedName name="_xlnm.Criteria">'[1]036-SPEC'!#REF!</definedName>
    <definedName name="Densities">INPUT_DATA!$H$4:$H$195</definedName>
    <definedName name="ENDCONNECTION">#REF!</definedName>
    <definedName name="Enthalpies">INPUT_DATA!$J$4:$J$195</definedName>
    <definedName name="EquipmentTags">LIST_OF_EQUIPMENT!$B$3:$B$31</definedName>
    <definedName name="FlowRates_kghr">INPUT_DATA!$D$4:$D$195</definedName>
    <definedName name="FlowRates_kgs">INPUT_DATA!$C$4:$C$195</definedName>
    <definedName name="FluidCategories">FluidList!$A$1:$A$6</definedName>
    <definedName name="LineNumbers">'LIST OF LINES'!$B$4:$B$214</definedName>
    <definedName name="LineTags">INPUT_DATA!$A$4:$A$195</definedName>
    <definedName name="LOE_EquipNames">LIST_OF_EQUIPMENT!$A$3:$A$31</definedName>
    <definedName name="LOE_EquipTags">LIST_OF_EQUIPMENT!$B$3:$B$31</definedName>
    <definedName name="LOE_Pressures">LIST_OF_EQUIPMENT!$C$3:$C$31</definedName>
    <definedName name="LOE_Temperatures">LIST_OF_EQUIPMENT!$D$3:$D$31</definedName>
    <definedName name="LOL_LineNumbers">'LIST OF LINES'!$B$4:$B$214</definedName>
    <definedName name="LOL_LineTags">'LIST OF LINES'!$D$4:$D$214</definedName>
    <definedName name="MATERIALFORM">#REF!</definedName>
    <definedName name="NB">#REF!</definedName>
    <definedName name="PipeIDs">'Pipe Table'!$A$2:$B$19</definedName>
    <definedName name="PipeReference">'Pipe Table'!$A$2:$E$19</definedName>
    <definedName name="Pressures_bar">INPUT_DATA!$F$4:$F$195</definedName>
    <definedName name="Pressures_mbar">INPUT_DATA!$E$4:$E$195</definedName>
    <definedName name="_xlnm.Print_Titles" localSheetId="3">'LIST OF LINES'!$1:$1</definedName>
    <definedName name="SCHEDULE">#REF!</definedName>
    <definedName name="SHAPES">#REF!</definedName>
    <definedName name="StreamData">INPUT_DATA!$A$4:$J$195</definedName>
    <definedName name="TDS_Values">INPUT_DATA!$I$4:$I$195</definedName>
    <definedName name="Temperatures">INPUT_DATA!$G$4:$G$195</definedName>
    <definedName name="VALVELIST">#REF!</definedName>
    <definedName name="VALVEPURPO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7" l="1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A3" i="7"/>
  <c r="Q264" i="6"/>
  <c r="N264" i="6"/>
  <c r="K264" i="6"/>
  <c r="Q263" i="6"/>
  <c r="N263" i="6"/>
  <c r="K263" i="6"/>
  <c r="Q262" i="6"/>
  <c r="N262" i="6"/>
  <c r="K262" i="6"/>
  <c r="Q261" i="6"/>
  <c r="N261" i="6"/>
  <c r="K261" i="6"/>
  <c r="Q260" i="6"/>
  <c r="N260" i="6"/>
  <c r="K260" i="6"/>
  <c r="Q259" i="6"/>
  <c r="N259" i="6"/>
  <c r="K259" i="6"/>
  <c r="Q258" i="6"/>
  <c r="N258" i="6"/>
  <c r="K258" i="6"/>
  <c r="Q257" i="6"/>
  <c r="N257" i="6"/>
  <c r="K257" i="6"/>
  <c r="Q256" i="6"/>
  <c r="N256" i="6"/>
  <c r="K256" i="6"/>
  <c r="A256" i="6"/>
  <c r="A257" i="6" s="1"/>
  <c r="A258" i="6" s="1"/>
  <c r="A259" i="6" s="1"/>
  <c r="A260" i="6" s="1"/>
  <c r="A261" i="6" s="1"/>
  <c r="A262" i="6" s="1"/>
  <c r="A263" i="6" s="1"/>
  <c r="A264" i="6" s="1"/>
  <c r="Q255" i="6"/>
  <c r="N255" i="6"/>
  <c r="K255" i="6"/>
  <c r="Q254" i="6"/>
  <c r="N254" i="6"/>
  <c r="K254" i="6"/>
  <c r="Q253" i="6"/>
  <c r="N253" i="6"/>
  <c r="K253" i="6"/>
  <c r="A253" i="6"/>
  <c r="A254" i="6" s="1"/>
  <c r="A255" i="6" s="1"/>
  <c r="Q252" i="6"/>
  <c r="N252" i="6"/>
  <c r="K252" i="6"/>
  <c r="Q248" i="6"/>
  <c r="N248" i="6"/>
  <c r="K248" i="6"/>
  <c r="Q247" i="6"/>
  <c r="N247" i="6"/>
  <c r="K247" i="6"/>
  <c r="Q246" i="6"/>
  <c r="N246" i="6"/>
  <c r="K246" i="6"/>
  <c r="Q245" i="6"/>
  <c r="N245" i="6"/>
  <c r="K245" i="6"/>
  <c r="N244" i="6"/>
  <c r="C244" i="6"/>
  <c r="Q244" i="6" s="1"/>
  <c r="K243" i="6"/>
  <c r="C243" i="6"/>
  <c r="N243" i="6" s="1"/>
  <c r="Q242" i="6"/>
  <c r="C242" i="6"/>
  <c r="N242" i="6" s="1"/>
  <c r="Q241" i="6"/>
  <c r="K241" i="6"/>
  <c r="C241" i="6"/>
  <c r="N241" i="6" s="1"/>
  <c r="Q240" i="6"/>
  <c r="N240" i="6"/>
  <c r="K240" i="6"/>
  <c r="C240" i="6"/>
  <c r="Q239" i="6"/>
  <c r="N239" i="6"/>
  <c r="K239" i="6"/>
  <c r="C239" i="6"/>
  <c r="C238" i="6"/>
  <c r="C237" i="6"/>
  <c r="Q237" i="6" s="1"/>
  <c r="Q236" i="6"/>
  <c r="K236" i="6"/>
  <c r="C236" i="6"/>
  <c r="N236" i="6" s="1"/>
  <c r="N235" i="6"/>
  <c r="C235" i="6"/>
  <c r="K235" i="6" s="1"/>
  <c r="N234" i="6"/>
  <c r="C234" i="6"/>
  <c r="Q234" i="6" s="1"/>
  <c r="C233" i="6"/>
  <c r="Q233" i="6" s="1"/>
  <c r="Q232" i="6"/>
  <c r="N232" i="6"/>
  <c r="K232" i="6"/>
  <c r="C232" i="6"/>
  <c r="N231" i="6"/>
  <c r="C231" i="6"/>
  <c r="Q231" i="6" s="1"/>
  <c r="C230" i="6"/>
  <c r="Q229" i="6"/>
  <c r="K229" i="6"/>
  <c r="C229" i="6"/>
  <c r="N229" i="6" s="1"/>
  <c r="C228" i="6"/>
  <c r="C227" i="6"/>
  <c r="C226" i="6"/>
  <c r="C225" i="6"/>
  <c r="C224" i="6"/>
  <c r="C223" i="6"/>
  <c r="C222" i="6"/>
  <c r="C221" i="6"/>
  <c r="C220" i="6"/>
  <c r="Q219" i="6"/>
  <c r="C219" i="6"/>
  <c r="C218" i="6"/>
  <c r="C217" i="6"/>
  <c r="C216" i="6"/>
  <c r="C215" i="6"/>
  <c r="C214" i="6"/>
  <c r="C213" i="6"/>
  <c r="C212" i="6"/>
  <c r="C211" i="6"/>
  <c r="C210" i="6"/>
  <c r="C209" i="6"/>
  <c r="Q208" i="6"/>
  <c r="C208" i="6"/>
  <c r="C207" i="6"/>
  <c r="Q206" i="6"/>
  <c r="C206" i="6"/>
  <c r="Q205" i="6"/>
  <c r="C205" i="6"/>
  <c r="Q204" i="6"/>
  <c r="C204" i="6"/>
  <c r="Q203" i="6"/>
  <c r="C203" i="6"/>
  <c r="C202" i="6"/>
  <c r="C201" i="6"/>
  <c r="Q200" i="6"/>
  <c r="C200" i="6"/>
  <c r="C199" i="6"/>
  <c r="C198" i="6"/>
  <c r="Q198" i="6" s="1"/>
  <c r="C197" i="6"/>
  <c r="Q197" i="6" s="1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Q179" i="6" s="1"/>
  <c r="C178" i="6"/>
  <c r="C177" i="6"/>
  <c r="Q177" i="6" s="1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Q161" i="6" s="1"/>
  <c r="Q160" i="6"/>
  <c r="C160" i="6"/>
  <c r="Q159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Q136" i="6"/>
  <c r="C136" i="6"/>
  <c r="C135" i="6"/>
  <c r="C134" i="6"/>
  <c r="Q133" i="6"/>
  <c r="C133" i="6"/>
  <c r="Q132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Q113" i="6"/>
  <c r="C113" i="6"/>
  <c r="C112" i="6"/>
  <c r="Q111" i="6"/>
  <c r="C111" i="6"/>
  <c r="C110" i="6"/>
  <c r="C109" i="6"/>
  <c r="C108" i="6"/>
  <c r="Q107" i="6"/>
  <c r="C107" i="6"/>
  <c r="C106" i="6"/>
  <c r="C105" i="6"/>
  <c r="C104" i="6"/>
  <c r="C103" i="6"/>
  <c r="C102" i="6"/>
  <c r="Q102" i="6" s="1"/>
  <c r="C101" i="6"/>
  <c r="Q100" i="6"/>
  <c r="C100" i="6"/>
  <c r="C99" i="6"/>
  <c r="C98" i="6"/>
  <c r="Q97" i="6"/>
  <c r="C97" i="6"/>
  <c r="C96" i="6"/>
  <c r="Q95" i="6"/>
  <c r="C95" i="6"/>
  <c r="C94" i="6"/>
  <c r="C93" i="6"/>
  <c r="Q92" i="6"/>
  <c r="C92" i="6"/>
  <c r="C91" i="6"/>
  <c r="C90" i="6"/>
  <c r="Q90" i="6" s="1"/>
  <c r="Q89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Q44" i="6"/>
  <c r="C44" i="6"/>
  <c r="C43" i="6"/>
  <c r="C42" i="6"/>
  <c r="Q42" i="6" s="1"/>
  <c r="C41" i="6"/>
  <c r="C40" i="6"/>
  <c r="C39" i="6"/>
  <c r="C38" i="6"/>
  <c r="C37" i="6"/>
  <c r="C36" i="6"/>
  <c r="C35" i="6"/>
  <c r="C34" i="6"/>
  <c r="C33" i="6"/>
  <c r="C32" i="6"/>
  <c r="Q32" i="6" s="1"/>
  <c r="C31" i="6"/>
  <c r="C30" i="6"/>
  <c r="Q30" i="6" s="1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C12" i="6"/>
  <c r="C11" i="6"/>
  <c r="C10" i="6"/>
  <c r="C9" i="6"/>
  <c r="A9" i="6"/>
  <c r="A10" i="6" s="1"/>
  <c r="A11" i="6" s="1"/>
  <c r="A12" i="6" s="1"/>
  <c r="C8" i="6"/>
  <c r="A8" i="6"/>
  <c r="C7" i="6"/>
  <c r="C6" i="6"/>
  <c r="A6" i="6"/>
  <c r="A7" i="6" s="1"/>
  <c r="C5" i="6"/>
  <c r="A5" i="6"/>
  <c r="C4" i="6"/>
  <c r="S229" i="5"/>
  <c r="P229" i="5"/>
  <c r="M229" i="5"/>
  <c r="J229" i="5"/>
  <c r="S228" i="5"/>
  <c r="P228" i="5"/>
  <c r="M228" i="5"/>
  <c r="J228" i="5"/>
  <c r="S227" i="5"/>
  <c r="P227" i="5"/>
  <c r="M227" i="5"/>
  <c r="J227" i="5"/>
  <c r="S226" i="5"/>
  <c r="P226" i="5"/>
  <c r="M226" i="5"/>
  <c r="J226" i="5"/>
  <c r="S225" i="5"/>
  <c r="P225" i="5"/>
  <c r="M225" i="5"/>
  <c r="J225" i="5"/>
  <c r="S224" i="5"/>
  <c r="P224" i="5"/>
  <c r="M224" i="5"/>
  <c r="J224" i="5"/>
  <c r="C223" i="5"/>
  <c r="S222" i="5"/>
  <c r="P222" i="5"/>
  <c r="C222" i="5"/>
  <c r="S221" i="5"/>
  <c r="C221" i="5"/>
  <c r="C220" i="5"/>
  <c r="S220" i="5" s="1"/>
  <c r="S219" i="5"/>
  <c r="C219" i="5"/>
  <c r="P219" i="5" s="1"/>
  <c r="C218" i="5"/>
  <c r="P218" i="5" s="1"/>
  <c r="S217" i="5"/>
  <c r="P217" i="5"/>
  <c r="C217" i="5"/>
  <c r="C216" i="5"/>
  <c r="S215" i="5"/>
  <c r="P215" i="5"/>
  <c r="C215" i="5"/>
  <c r="C214" i="5"/>
  <c r="S213" i="5"/>
  <c r="P213" i="5"/>
  <c r="C213" i="5"/>
  <c r="S212" i="5"/>
  <c r="C212" i="5"/>
  <c r="P212" i="5" s="1"/>
  <c r="S211" i="5"/>
  <c r="P211" i="5"/>
  <c r="C211" i="5"/>
  <c r="C210" i="5"/>
  <c r="S209" i="5"/>
  <c r="P209" i="5"/>
  <c r="C209" i="5"/>
  <c r="C208" i="5"/>
  <c r="S207" i="5"/>
  <c r="P207" i="5"/>
  <c r="C207" i="5"/>
  <c r="C206" i="5"/>
  <c r="S205" i="5"/>
  <c r="P205" i="5"/>
  <c r="C205" i="5"/>
  <c r="C204" i="5"/>
  <c r="P204" i="5" s="1"/>
  <c r="S203" i="5"/>
  <c r="P203" i="5"/>
  <c r="C203" i="5"/>
  <c r="C202" i="5"/>
  <c r="S201" i="5"/>
  <c r="P201" i="5"/>
  <c r="C201" i="5"/>
  <c r="C200" i="5"/>
  <c r="P200" i="5" s="1"/>
  <c r="S199" i="5"/>
  <c r="P199" i="5"/>
  <c r="C199" i="5"/>
  <c r="S198" i="5"/>
  <c r="C198" i="5"/>
  <c r="P198" i="5" s="1"/>
  <c r="S197" i="5"/>
  <c r="P197" i="5"/>
  <c r="C197" i="5"/>
  <c r="S196" i="5"/>
  <c r="C196" i="5"/>
  <c r="S195" i="5"/>
  <c r="P195" i="5"/>
  <c r="C195" i="5"/>
  <c r="C194" i="5"/>
  <c r="P194" i="5" s="1"/>
  <c r="S193" i="5"/>
  <c r="P193" i="5"/>
  <c r="C193" i="5"/>
  <c r="S192" i="5"/>
  <c r="C192" i="5"/>
  <c r="S191" i="5"/>
  <c r="P191" i="5"/>
  <c r="C191" i="5"/>
  <c r="S190" i="5"/>
  <c r="C190" i="5"/>
  <c r="S189" i="5"/>
  <c r="P189" i="5"/>
  <c r="C189" i="5"/>
  <c r="S188" i="5"/>
  <c r="C188" i="5"/>
  <c r="P188" i="5" s="1"/>
  <c r="S187" i="5"/>
  <c r="P187" i="5"/>
  <c r="C187" i="5"/>
  <c r="C186" i="5"/>
  <c r="S185" i="5"/>
  <c r="P185" i="5"/>
  <c r="C185" i="5"/>
  <c r="S184" i="5"/>
  <c r="C184" i="5"/>
  <c r="P184" i="5" s="1"/>
  <c r="S183" i="5"/>
  <c r="P183" i="5"/>
  <c r="C183" i="5"/>
  <c r="C182" i="5"/>
  <c r="P182" i="5" s="1"/>
  <c r="S181" i="5"/>
  <c r="P181" i="5"/>
  <c r="C181" i="5"/>
  <c r="C180" i="5"/>
  <c r="S179" i="5"/>
  <c r="P179" i="5"/>
  <c r="C179" i="5"/>
  <c r="S178" i="5"/>
  <c r="C178" i="5"/>
  <c r="P178" i="5" s="1"/>
  <c r="S177" i="5"/>
  <c r="P177" i="5"/>
  <c r="C177" i="5"/>
  <c r="S176" i="5"/>
  <c r="C176" i="5"/>
  <c r="P176" i="5" s="1"/>
  <c r="S175" i="5"/>
  <c r="P175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P152" i="5" s="1"/>
  <c r="S151" i="5"/>
  <c r="P151" i="5"/>
  <c r="C151" i="5"/>
  <c r="C150" i="5"/>
  <c r="S149" i="5"/>
  <c r="C149" i="5"/>
  <c r="S148" i="5"/>
  <c r="C148" i="5"/>
  <c r="P148" i="5" s="1"/>
  <c r="C147" i="5"/>
  <c r="C146" i="5"/>
  <c r="C145" i="5"/>
  <c r="C144" i="5"/>
  <c r="C143" i="5"/>
  <c r="C142" i="5"/>
  <c r="C141" i="5"/>
  <c r="C140" i="5"/>
  <c r="S139" i="5"/>
  <c r="C139" i="5"/>
  <c r="P139" i="5" s="1"/>
  <c r="C138" i="5"/>
  <c r="P138" i="5" s="1"/>
  <c r="S137" i="5"/>
  <c r="C137" i="5"/>
  <c r="P137" i="5" s="1"/>
  <c r="C136" i="5"/>
  <c r="P136" i="5" s="1"/>
  <c r="C135" i="5"/>
  <c r="S134" i="5"/>
  <c r="C134" i="5"/>
  <c r="P134" i="5" s="1"/>
  <c r="C133" i="5"/>
  <c r="C132" i="5"/>
  <c r="C131" i="5"/>
  <c r="C130" i="5"/>
  <c r="C129" i="5"/>
  <c r="S128" i="5"/>
  <c r="C128" i="5"/>
  <c r="P128" i="5" s="1"/>
  <c r="S127" i="5"/>
  <c r="P127" i="5"/>
  <c r="C127" i="5"/>
  <c r="C126" i="5"/>
  <c r="P126" i="5" s="1"/>
  <c r="P125" i="5"/>
  <c r="C125" i="5"/>
  <c r="S125" i="5" s="1"/>
  <c r="C124" i="5"/>
  <c r="C123" i="5"/>
  <c r="C122" i="5"/>
  <c r="C121" i="5"/>
  <c r="C120" i="5"/>
  <c r="C119" i="5"/>
  <c r="C118" i="5"/>
  <c r="C117" i="5"/>
  <c r="C116" i="5"/>
  <c r="C115" i="5"/>
  <c r="C114" i="5"/>
  <c r="S113" i="5"/>
  <c r="C113" i="5"/>
  <c r="S112" i="5"/>
  <c r="C112" i="5"/>
  <c r="P112" i="5" s="1"/>
  <c r="P111" i="5"/>
  <c r="C111" i="5"/>
  <c r="S111" i="5" s="1"/>
  <c r="S110" i="5"/>
  <c r="C110" i="5"/>
  <c r="P110" i="5" s="1"/>
  <c r="P109" i="5"/>
  <c r="C109" i="5"/>
  <c r="C108" i="5"/>
  <c r="P107" i="5"/>
  <c r="C107" i="5"/>
  <c r="S107" i="5" s="1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M83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S49" i="5"/>
  <c r="P49" i="5"/>
  <c r="C49" i="5"/>
  <c r="C48" i="5"/>
  <c r="P48" i="5" s="1"/>
  <c r="C47" i="5"/>
  <c r="P46" i="5"/>
  <c r="C46" i="5"/>
  <c r="C45" i="5"/>
  <c r="C44" i="5"/>
  <c r="C43" i="5"/>
  <c r="S42" i="5"/>
  <c r="P42" i="5"/>
  <c r="C42" i="5"/>
  <c r="C41" i="5"/>
  <c r="S40" i="5"/>
  <c r="P40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A22" i="5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C21" i="5"/>
  <c r="C20" i="5"/>
  <c r="C19" i="5"/>
  <c r="C18" i="5"/>
  <c r="C17" i="5"/>
  <c r="C16" i="5"/>
  <c r="C15" i="5"/>
  <c r="P14" i="5"/>
  <c r="C14" i="5"/>
  <c r="C13" i="5"/>
  <c r="C12" i="5"/>
  <c r="C11" i="5"/>
  <c r="C10" i="5"/>
  <c r="C9" i="5"/>
  <c r="C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C7" i="5"/>
  <c r="C6" i="5"/>
  <c r="A6" i="5"/>
  <c r="A7" i="5" s="1"/>
  <c r="C5" i="5"/>
  <c r="A5" i="5"/>
  <c r="C4" i="5"/>
  <c r="D214" i="4"/>
  <c r="F214" i="4" s="1"/>
  <c r="D213" i="4"/>
  <c r="F212" i="4"/>
  <c r="D212" i="4"/>
  <c r="F211" i="4"/>
  <c r="D211" i="4"/>
  <c r="D210" i="4"/>
  <c r="F210" i="4" s="1"/>
  <c r="D209" i="4"/>
  <c r="F209" i="4" s="1"/>
  <c r="D208" i="4"/>
  <c r="F207" i="4"/>
  <c r="D207" i="4"/>
  <c r="D206" i="4"/>
  <c r="F206" i="4" s="1"/>
  <c r="D205" i="4"/>
  <c r="D204" i="4"/>
  <c r="F204" i="4" s="1"/>
  <c r="D203" i="4"/>
  <c r="F202" i="4"/>
  <c r="D202" i="4"/>
  <c r="F201" i="4"/>
  <c r="D201" i="4"/>
  <c r="F200" i="4"/>
  <c r="D200" i="4"/>
  <c r="F199" i="4"/>
  <c r="D199" i="4"/>
  <c r="D198" i="4"/>
  <c r="D197" i="4"/>
  <c r="D196" i="4"/>
  <c r="D195" i="4"/>
  <c r="F195" i="4" s="1"/>
  <c r="F194" i="4"/>
  <c r="D194" i="4"/>
  <c r="F193" i="4"/>
  <c r="D193" i="4"/>
  <c r="D192" i="4"/>
  <c r="F191" i="4"/>
  <c r="D191" i="4"/>
  <c r="F190" i="4"/>
  <c r="D190" i="4"/>
  <c r="F189" i="4"/>
  <c r="D189" i="4"/>
  <c r="F188" i="4"/>
  <c r="D188" i="4"/>
  <c r="D187" i="4"/>
  <c r="D186" i="4"/>
  <c r="D185" i="4"/>
  <c r="F185" i="4" s="1"/>
  <c r="D184" i="4"/>
  <c r="F184" i="4" s="1"/>
  <c r="F183" i="4"/>
  <c r="D183" i="4"/>
  <c r="F182" i="4"/>
  <c r="D182" i="4"/>
  <c r="D181" i="4"/>
  <c r="F180" i="4"/>
  <c r="D180" i="4"/>
  <c r="F179" i="4"/>
  <c r="D179" i="4"/>
  <c r="F178" i="4"/>
  <c r="D178" i="4"/>
  <c r="D177" i="4"/>
  <c r="F177" i="4" s="1"/>
  <c r="F176" i="4"/>
  <c r="D176" i="4"/>
  <c r="F175" i="4"/>
  <c r="D175" i="4"/>
  <c r="D174" i="4"/>
  <c r="D173" i="4"/>
  <c r="D172" i="4"/>
  <c r="D171" i="4"/>
  <c r="F171" i="4" s="1"/>
  <c r="F170" i="4"/>
  <c r="D170" i="4"/>
  <c r="D169" i="4"/>
  <c r="F169" i="4" s="1"/>
  <c r="F168" i="4"/>
  <c r="D168" i="4"/>
  <c r="D167" i="4"/>
  <c r="D166" i="4"/>
  <c r="D165" i="4"/>
  <c r="F165" i="4" s="1"/>
  <c r="F164" i="4"/>
  <c r="D164" i="4"/>
  <c r="D163" i="4"/>
  <c r="F163" i="4" s="1"/>
  <c r="F162" i="4"/>
  <c r="D162" i="4"/>
  <c r="D161" i="4"/>
  <c r="F161" i="4" s="1"/>
  <c r="D160" i="4"/>
  <c r="F160" i="4" s="1"/>
  <c r="F159" i="4"/>
  <c r="D159" i="4"/>
  <c r="F158" i="4"/>
  <c r="D158" i="4"/>
  <c r="F157" i="4"/>
  <c r="D157" i="4"/>
  <c r="F156" i="4"/>
  <c r="D156" i="4"/>
  <c r="D155" i="4"/>
  <c r="F154" i="4"/>
  <c r="D154" i="4"/>
  <c r="F153" i="4"/>
  <c r="D153" i="4"/>
  <c r="D152" i="4"/>
  <c r="F152" i="4" s="1"/>
  <c r="D151" i="4"/>
  <c r="F150" i="4"/>
  <c r="D150" i="4"/>
  <c r="F149" i="4"/>
  <c r="D149" i="4"/>
  <c r="D148" i="4"/>
  <c r="F148" i="4" s="1"/>
  <c r="D147" i="4"/>
  <c r="F147" i="4" s="1"/>
  <c r="F146" i="4"/>
  <c r="D146" i="4"/>
  <c r="F145" i="4"/>
  <c r="D145" i="4"/>
  <c r="D144" i="4"/>
  <c r="F143" i="4"/>
  <c r="D143" i="4"/>
  <c r="F142" i="4"/>
  <c r="D142" i="4"/>
  <c r="F141" i="4"/>
  <c r="D141" i="4"/>
  <c r="D140" i="4"/>
  <c r="D139" i="4"/>
  <c r="F138" i="4"/>
  <c r="D138" i="4"/>
  <c r="D137" i="4"/>
  <c r="F137" i="4" s="1"/>
  <c r="D136" i="4"/>
  <c r="F136" i="4" s="1"/>
  <c r="D135" i="4"/>
  <c r="F135" i="4" s="1"/>
  <c r="D134" i="4"/>
  <c r="F133" i="4"/>
  <c r="D133" i="4"/>
  <c r="F132" i="4"/>
  <c r="D132" i="4"/>
  <c r="D131" i="4"/>
  <c r="F130" i="4"/>
  <c r="D130" i="4"/>
  <c r="F129" i="4"/>
  <c r="D129" i="4"/>
  <c r="D128" i="4"/>
  <c r="F128" i="4" s="1"/>
  <c r="D127" i="4"/>
  <c r="F127" i="4" s="1"/>
  <c r="D126" i="4"/>
  <c r="F126" i="4" s="1"/>
  <c r="F125" i="4"/>
  <c r="D125" i="4"/>
  <c r="F124" i="4"/>
  <c r="D124" i="4"/>
  <c r="D123" i="4"/>
  <c r="D122" i="4"/>
  <c r="F122" i="4" s="1"/>
  <c r="F121" i="4"/>
  <c r="D121" i="4"/>
  <c r="D120" i="4"/>
  <c r="F120" i="4" s="1"/>
  <c r="F104" i="4"/>
  <c r="D104" i="4"/>
  <c r="F103" i="4"/>
  <c r="H103" i="4" s="1"/>
  <c r="I103" i="4" s="1"/>
  <c r="E103" i="4"/>
  <c r="D103" i="4"/>
  <c r="F102" i="4"/>
  <c r="D102" i="4"/>
  <c r="Q218" i="6" s="1"/>
  <c r="D101" i="4"/>
  <c r="D100" i="4"/>
  <c r="D99" i="4"/>
  <c r="F99" i="4" s="1"/>
  <c r="F98" i="4"/>
  <c r="D98" i="4"/>
  <c r="Q214" i="6" s="1"/>
  <c r="F97" i="4"/>
  <c r="D97" i="4"/>
  <c r="N213" i="6" s="1"/>
  <c r="F96" i="4"/>
  <c r="D96" i="4"/>
  <c r="K212" i="6" s="1"/>
  <c r="F95" i="4"/>
  <c r="D95" i="4"/>
  <c r="D94" i="4"/>
  <c r="D92" i="4"/>
  <c r="F92" i="4" s="1"/>
  <c r="F91" i="4"/>
  <c r="H91" i="4" s="1"/>
  <c r="I91" i="4" s="1"/>
  <c r="E91" i="4"/>
  <c r="D91" i="4"/>
  <c r="H90" i="4"/>
  <c r="I90" i="4" s="1"/>
  <c r="J90" i="4" s="1"/>
  <c r="F90" i="4"/>
  <c r="E90" i="4"/>
  <c r="D90" i="4"/>
  <c r="D89" i="4"/>
  <c r="D88" i="4"/>
  <c r="D87" i="4"/>
  <c r="F86" i="4"/>
  <c r="D86" i="4"/>
  <c r="D85" i="4"/>
  <c r="F84" i="4"/>
  <c r="D84" i="4"/>
  <c r="E84" i="4" s="1"/>
  <c r="F83" i="4"/>
  <c r="D83" i="4"/>
  <c r="D82" i="4"/>
  <c r="F82" i="4" s="1"/>
  <c r="D81" i="4"/>
  <c r="F81" i="4" s="1"/>
  <c r="D80" i="4"/>
  <c r="F80" i="4" s="1"/>
  <c r="F79" i="4"/>
  <c r="D79" i="4"/>
  <c r="J77" i="4"/>
  <c r="H77" i="4"/>
  <c r="I77" i="4" s="1"/>
  <c r="F77" i="4"/>
  <c r="E77" i="4"/>
  <c r="D77" i="4"/>
  <c r="D76" i="4"/>
  <c r="D75" i="4"/>
  <c r="D74" i="4"/>
  <c r="F73" i="4"/>
  <c r="D73" i="4"/>
  <c r="D72" i="4"/>
  <c r="F71" i="4"/>
  <c r="D71" i="4"/>
  <c r="F70" i="4"/>
  <c r="D70" i="4"/>
  <c r="D69" i="4"/>
  <c r="E68" i="4"/>
  <c r="D68" i="4"/>
  <c r="D67" i="4"/>
  <c r="F66" i="4"/>
  <c r="E66" i="4"/>
  <c r="D66" i="4"/>
  <c r="H65" i="4"/>
  <c r="I65" i="4" s="1"/>
  <c r="J65" i="4" s="1"/>
  <c r="F65" i="4"/>
  <c r="E65" i="4"/>
  <c r="D65" i="4"/>
  <c r="D64" i="4"/>
  <c r="D63" i="4"/>
  <c r="D62" i="4"/>
  <c r="F61" i="4"/>
  <c r="D61" i="4"/>
  <c r="S129" i="5" s="1"/>
  <c r="D60" i="4"/>
  <c r="F59" i="4"/>
  <c r="D59" i="4"/>
  <c r="H58" i="4"/>
  <c r="I58" i="4" s="1"/>
  <c r="F58" i="4"/>
  <c r="D58" i="4"/>
  <c r="E58" i="4" s="1"/>
  <c r="D57" i="4"/>
  <c r="E56" i="4"/>
  <c r="D56" i="4"/>
  <c r="D55" i="4"/>
  <c r="F54" i="4"/>
  <c r="E54" i="4"/>
  <c r="D54" i="4"/>
  <c r="Q112" i="6" s="1"/>
  <c r="F53" i="4"/>
  <c r="D53" i="4"/>
  <c r="D52" i="4"/>
  <c r="D51" i="4"/>
  <c r="D50" i="4"/>
  <c r="F49" i="4"/>
  <c r="D49" i="4"/>
  <c r="D48" i="4"/>
  <c r="D47" i="4"/>
  <c r="D46" i="4"/>
  <c r="F44" i="4"/>
  <c r="E44" i="4"/>
  <c r="D44" i="4"/>
  <c r="D43" i="4"/>
  <c r="F42" i="4"/>
  <c r="D42" i="4"/>
  <c r="F41" i="4"/>
  <c r="E41" i="4"/>
  <c r="D41" i="4"/>
  <c r="H40" i="4"/>
  <c r="I40" i="4" s="1"/>
  <c r="F40" i="4"/>
  <c r="E40" i="4"/>
  <c r="D40" i="4"/>
  <c r="E39" i="4"/>
  <c r="D39" i="4"/>
  <c r="F38" i="4"/>
  <c r="E38" i="4"/>
  <c r="D38" i="4"/>
  <c r="D37" i="4"/>
  <c r="E36" i="4"/>
  <c r="D36" i="4"/>
  <c r="F35" i="4"/>
  <c r="D35" i="4"/>
  <c r="F34" i="4"/>
  <c r="D34" i="4"/>
  <c r="E34" i="4" s="1"/>
  <c r="E33" i="4"/>
  <c r="D33" i="4"/>
  <c r="F32" i="4"/>
  <c r="D32" i="4"/>
  <c r="S53" i="5" s="1"/>
  <c r="F31" i="4"/>
  <c r="D31" i="4"/>
  <c r="F30" i="4"/>
  <c r="E30" i="4"/>
  <c r="D30" i="4"/>
  <c r="F29" i="4"/>
  <c r="E29" i="4"/>
  <c r="H29" i="4" s="1"/>
  <c r="I29" i="4" s="1"/>
  <c r="D29" i="4"/>
  <c r="E28" i="4"/>
  <c r="D28" i="4"/>
  <c r="D27" i="4"/>
  <c r="F27" i="4" s="1"/>
  <c r="F26" i="4"/>
  <c r="D26" i="4"/>
  <c r="Q38" i="6" s="1"/>
  <c r="D25" i="4"/>
  <c r="D24" i="4"/>
  <c r="F23" i="4"/>
  <c r="D23" i="4"/>
  <c r="F22" i="4"/>
  <c r="D22" i="4"/>
  <c r="D20" i="4"/>
  <c r="F19" i="4"/>
  <c r="D19" i="4"/>
  <c r="D18" i="4"/>
  <c r="F17" i="4"/>
  <c r="E17" i="4"/>
  <c r="D17" i="4"/>
  <c r="F16" i="4"/>
  <c r="E16" i="4"/>
  <c r="H16" i="4" s="1"/>
  <c r="I16" i="4" s="1"/>
  <c r="D16" i="4"/>
  <c r="D15" i="4"/>
  <c r="E14" i="4"/>
  <c r="D14" i="4"/>
  <c r="F13" i="4"/>
  <c r="D13" i="4"/>
  <c r="D12" i="4"/>
  <c r="D11" i="4"/>
  <c r="F11" i="4" s="1"/>
  <c r="F10" i="4"/>
  <c r="D10" i="4"/>
  <c r="F9" i="4"/>
  <c r="D9" i="4"/>
  <c r="D8" i="4"/>
  <c r="F7" i="4"/>
  <c r="D7" i="4"/>
  <c r="M14" i="5" s="1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6" i="4" s="1"/>
  <c r="A107" i="4" s="1"/>
  <c r="A108" i="4" s="1"/>
  <c r="A110" i="4" s="1"/>
  <c r="A111" i="4" s="1"/>
  <c r="A112" i="4" s="1"/>
  <c r="A113" i="4" s="1"/>
  <c r="A115" i="4" s="1"/>
  <c r="A116" i="4" s="1"/>
  <c r="A117" i="4" s="1"/>
  <c r="A118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D6" i="4"/>
  <c r="E6" i="4" s="1"/>
  <c r="A6" i="4"/>
  <c r="F5" i="4"/>
  <c r="E5" i="4"/>
  <c r="D5" i="4"/>
  <c r="S7" i="5" s="1"/>
  <c r="A5" i="4"/>
  <c r="F4" i="4"/>
  <c r="E4" i="4"/>
  <c r="D4" i="4"/>
  <c r="K28" i="3"/>
  <c r="J28" i="3"/>
  <c r="E28" i="3"/>
  <c r="D28" i="3"/>
  <c r="C28" i="3"/>
  <c r="E27" i="3"/>
  <c r="E26" i="3"/>
  <c r="J25" i="3"/>
  <c r="J24" i="3"/>
  <c r="L23" i="3"/>
  <c r="K23" i="3"/>
  <c r="J23" i="3"/>
  <c r="E23" i="3"/>
  <c r="J22" i="3"/>
  <c r="E22" i="3"/>
  <c r="J21" i="3"/>
  <c r="E21" i="3"/>
  <c r="J20" i="3"/>
  <c r="E20" i="3"/>
  <c r="J19" i="3"/>
  <c r="E19" i="3"/>
  <c r="J18" i="3"/>
  <c r="F18" i="3"/>
  <c r="E18" i="3"/>
  <c r="D18" i="3"/>
  <c r="C18" i="3"/>
  <c r="J17" i="3"/>
  <c r="E17" i="3"/>
  <c r="D17" i="3"/>
  <c r="C17" i="3"/>
  <c r="K16" i="3"/>
  <c r="J16" i="3"/>
  <c r="F16" i="3"/>
  <c r="E16" i="3"/>
  <c r="K15" i="3"/>
  <c r="J15" i="3"/>
  <c r="F15" i="3"/>
  <c r="E15" i="3"/>
  <c r="K14" i="3"/>
  <c r="J14" i="3"/>
  <c r="F14" i="3"/>
  <c r="E14" i="3"/>
  <c r="D14" i="3"/>
  <c r="M222" i="5" s="1"/>
  <c r="C14" i="3"/>
  <c r="J222" i="5" s="1"/>
  <c r="M13" i="3"/>
  <c r="L13" i="3"/>
  <c r="K13" i="3"/>
  <c r="J13" i="3"/>
  <c r="I13" i="3"/>
  <c r="H13" i="3"/>
  <c r="G13" i="3"/>
  <c r="F13" i="3"/>
  <c r="E13" i="3"/>
  <c r="D13" i="3"/>
  <c r="C13" i="3"/>
  <c r="M12" i="3"/>
  <c r="L12" i="3"/>
  <c r="K12" i="3"/>
  <c r="J12" i="3"/>
  <c r="I12" i="3"/>
  <c r="H12" i="3"/>
  <c r="G12" i="3"/>
  <c r="F12" i="3"/>
  <c r="E12" i="3"/>
  <c r="D12" i="3"/>
  <c r="C12" i="3"/>
  <c r="M11" i="3"/>
  <c r="L11" i="3"/>
  <c r="K11" i="3"/>
  <c r="J11" i="3"/>
  <c r="I11" i="3"/>
  <c r="H11" i="3"/>
  <c r="G11" i="3"/>
  <c r="F11" i="3"/>
  <c r="E11" i="3"/>
  <c r="D11" i="3"/>
  <c r="C11" i="3"/>
  <c r="M10" i="3"/>
  <c r="L10" i="3"/>
  <c r="K10" i="3"/>
  <c r="J10" i="3"/>
  <c r="I10" i="3"/>
  <c r="H10" i="3"/>
  <c r="G10" i="3"/>
  <c r="F10" i="3"/>
  <c r="E10" i="3"/>
  <c r="D10" i="3"/>
  <c r="C10" i="3"/>
  <c r="M9" i="3"/>
  <c r="L9" i="3"/>
  <c r="K9" i="3"/>
  <c r="J9" i="3"/>
  <c r="I9" i="3"/>
  <c r="H9" i="3"/>
  <c r="G9" i="3"/>
  <c r="F9" i="3"/>
  <c r="E9" i="3"/>
  <c r="D9" i="3"/>
  <c r="C9" i="3"/>
  <c r="M8" i="3"/>
  <c r="L8" i="3"/>
  <c r="K8" i="3"/>
  <c r="J8" i="3"/>
  <c r="I8" i="3"/>
  <c r="H8" i="3"/>
  <c r="G8" i="3"/>
  <c r="F8" i="3"/>
  <c r="E8" i="3"/>
  <c r="D8" i="3"/>
  <c r="C8" i="3"/>
  <c r="M7" i="3"/>
  <c r="L7" i="3"/>
  <c r="K7" i="3"/>
  <c r="J7" i="3"/>
  <c r="I7" i="3"/>
  <c r="H7" i="3"/>
  <c r="G7" i="3"/>
  <c r="F7" i="3"/>
  <c r="E7" i="3"/>
  <c r="D7" i="3"/>
  <c r="C7" i="3"/>
  <c r="M6" i="3"/>
  <c r="L6" i="3"/>
  <c r="K6" i="3"/>
  <c r="J6" i="3"/>
  <c r="I6" i="3"/>
  <c r="H6" i="3"/>
  <c r="G6" i="3"/>
  <c r="F6" i="3"/>
  <c r="E6" i="3"/>
  <c r="D6" i="3"/>
  <c r="C6" i="3"/>
  <c r="M5" i="3"/>
  <c r="L5" i="3"/>
  <c r="K5" i="3"/>
  <c r="J5" i="3"/>
  <c r="G5" i="3"/>
  <c r="F5" i="3"/>
  <c r="E5" i="3"/>
  <c r="D5" i="3"/>
  <c r="C5" i="3"/>
  <c r="K4" i="3"/>
  <c r="J4" i="3"/>
  <c r="E4" i="3"/>
  <c r="D4" i="3"/>
  <c r="K3" i="3"/>
  <c r="J3" i="3"/>
  <c r="E3" i="3"/>
  <c r="D3" i="3"/>
  <c r="C189" i="2"/>
  <c r="C195" i="2" s="1"/>
  <c r="E214" i="4" s="1"/>
  <c r="C178" i="2"/>
  <c r="C187" i="2" s="1"/>
  <c r="E206" i="4" s="1"/>
  <c r="C171" i="2"/>
  <c r="E190" i="4" s="1"/>
  <c r="C170" i="2"/>
  <c r="E189" i="4" s="1"/>
  <c r="C153" i="2"/>
  <c r="C152" i="2"/>
  <c r="C151" i="2"/>
  <c r="C148" i="2"/>
  <c r="C145" i="2"/>
  <c r="C135" i="2"/>
  <c r="C134" i="2"/>
  <c r="C141" i="2" s="1"/>
  <c r="E160" i="4" s="1"/>
  <c r="C96" i="2"/>
  <c r="E102" i="4" s="1"/>
  <c r="H102" i="4" s="1"/>
  <c r="I102" i="4" s="1"/>
  <c r="C95" i="2"/>
  <c r="C94" i="2"/>
  <c r="E100" i="4" s="1"/>
  <c r="C93" i="2"/>
  <c r="C92" i="2"/>
  <c r="C91" i="2"/>
  <c r="C90" i="2"/>
  <c r="E96" i="4" s="1"/>
  <c r="H96" i="4" s="1"/>
  <c r="I96" i="4" s="1"/>
  <c r="C89" i="2"/>
  <c r="C88" i="2"/>
  <c r="F86" i="2"/>
  <c r="D86" i="2"/>
  <c r="E85" i="2"/>
  <c r="C4" i="3" s="1"/>
  <c r="D85" i="2"/>
  <c r="E84" i="2"/>
  <c r="C3" i="3" s="1"/>
  <c r="D84" i="2"/>
  <c r="D80" i="2"/>
  <c r="C79" i="2"/>
  <c r="C78" i="2"/>
  <c r="C77" i="2"/>
  <c r="C76" i="2"/>
  <c r="C75" i="2"/>
  <c r="C74" i="2"/>
  <c r="E81" i="4" s="1"/>
  <c r="C73" i="2"/>
  <c r="C72" i="2"/>
  <c r="E79" i="4" s="1"/>
  <c r="E70" i="2"/>
  <c r="D70" i="2"/>
  <c r="E69" i="2"/>
  <c r="D69" i="2"/>
  <c r="C69" i="2"/>
  <c r="E66" i="2"/>
  <c r="C66" i="2"/>
  <c r="D66" i="2" s="1"/>
  <c r="D63" i="2"/>
  <c r="E62" i="2"/>
  <c r="D62" i="2"/>
  <c r="D61" i="2"/>
  <c r="D60" i="2"/>
  <c r="C59" i="2"/>
  <c r="D59" i="2" s="1"/>
  <c r="D58" i="2"/>
  <c r="E55" i="2"/>
  <c r="D55" i="2"/>
  <c r="C54" i="2"/>
  <c r="G54" i="2" s="1"/>
  <c r="C53" i="2"/>
  <c r="E53" i="4" s="1"/>
  <c r="C52" i="2"/>
  <c r="C51" i="2"/>
  <c r="C50" i="2"/>
  <c r="C49" i="2"/>
  <c r="C48" i="2"/>
  <c r="C47" i="2"/>
  <c r="C46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I31" i="2"/>
  <c r="E31" i="2"/>
  <c r="D31" i="2"/>
  <c r="C30" i="2"/>
  <c r="C29" i="2"/>
  <c r="C28" i="2"/>
  <c r="C27" i="2"/>
  <c r="E27" i="4" s="1"/>
  <c r="C26" i="2"/>
  <c r="E26" i="4" s="1"/>
  <c r="C25" i="2"/>
  <c r="C24" i="2"/>
  <c r="C23" i="2"/>
  <c r="C22" i="2"/>
  <c r="E20" i="2"/>
  <c r="C20" i="2"/>
  <c r="E19" i="2"/>
  <c r="C19" i="2"/>
  <c r="E18" i="2"/>
  <c r="C18" i="2"/>
  <c r="C167" i="2" s="1"/>
  <c r="C169" i="2" s="1"/>
  <c r="E188" i="4" s="1"/>
  <c r="E17" i="2"/>
  <c r="D17" i="2"/>
  <c r="D19" i="2" s="1"/>
  <c r="E16" i="2"/>
  <c r="D16" i="2"/>
  <c r="E15" i="2"/>
  <c r="C15" i="2"/>
  <c r="C156" i="2" s="1"/>
  <c r="C159" i="2" s="1"/>
  <c r="E178" i="4" s="1"/>
  <c r="E14" i="2"/>
  <c r="C14" i="2"/>
  <c r="E13" i="2"/>
  <c r="C13" i="2"/>
  <c r="E13" i="4" s="1"/>
  <c r="E12" i="2"/>
  <c r="D12" i="2"/>
  <c r="D15" i="2" s="1"/>
  <c r="E11" i="2"/>
  <c r="D11" i="2"/>
  <c r="E10" i="2"/>
  <c r="D10" i="2"/>
  <c r="C10" i="2"/>
  <c r="C123" i="2" s="1"/>
  <c r="E9" i="2"/>
  <c r="D9" i="2"/>
  <c r="C9" i="2"/>
  <c r="C112" i="2" s="1"/>
  <c r="E8" i="2"/>
  <c r="D8" i="2"/>
  <c r="C8" i="2"/>
  <c r="C101" i="2" s="1"/>
  <c r="E7" i="2"/>
  <c r="D7" i="2"/>
  <c r="E6" i="2"/>
  <c r="D6" i="2"/>
  <c r="E5" i="2"/>
  <c r="D5" i="2"/>
  <c r="E4" i="2"/>
  <c r="D4" i="2"/>
  <c r="B44" i="1"/>
  <c r="B43" i="1"/>
  <c r="B42" i="1"/>
  <c r="B41" i="1"/>
  <c r="B40" i="1"/>
  <c r="E120" i="4" l="1"/>
  <c r="C108" i="2"/>
  <c r="E127" i="4" s="1"/>
  <c r="C102" i="2"/>
  <c r="E121" i="4" s="1"/>
  <c r="C104" i="2"/>
  <c r="C111" i="2"/>
  <c r="C103" i="2"/>
  <c r="D101" i="2"/>
  <c r="C110" i="2"/>
  <c r="C109" i="2"/>
  <c r="E128" i="4" s="1"/>
  <c r="C107" i="2"/>
  <c r="C106" i="2"/>
  <c r="E125" i="4" s="1"/>
  <c r="C105" i="2"/>
  <c r="E124" i="4" s="1"/>
  <c r="H13" i="4"/>
  <c r="I13" i="4" s="1"/>
  <c r="J13" i="4" s="1"/>
  <c r="C120" i="2"/>
  <c r="C114" i="2"/>
  <c r="C119" i="2"/>
  <c r="E138" i="4" s="1"/>
  <c r="C113" i="2"/>
  <c r="E132" i="4" s="1"/>
  <c r="C122" i="2"/>
  <c r="C121" i="2"/>
  <c r="C118" i="2"/>
  <c r="C117" i="2"/>
  <c r="E136" i="4" s="1"/>
  <c r="C116" i="2"/>
  <c r="E135" i="4" s="1"/>
  <c r="C115" i="2"/>
  <c r="D112" i="2"/>
  <c r="H178" i="4"/>
  <c r="I178" i="4" s="1"/>
  <c r="J178" i="4" s="1"/>
  <c r="H206" i="4"/>
  <c r="I206" i="4" s="1"/>
  <c r="J206" i="4" s="1"/>
  <c r="C132" i="2"/>
  <c r="C126" i="2"/>
  <c r="E145" i="4" s="1"/>
  <c r="E142" i="4"/>
  <c r="C131" i="2"/>
  <c r="E150" i="4" s="1"/>
  <c r="C125" i="2"/>
  <c r="C130" i="2"/>
  <c r="E149" i="4" s="1"/>
  <c r="C129" i="2"/>
  <c r="E148" i="4" s="1"/>
  <c r="C128" i="2"/>
  <c r="E147" i="4" s="1"/>
  <c r="C127" i="2"/>
  <c r="E146" i="4" s="1"/>
  <c r="C124" i="2"/>
  <c r="C133" i="2"/>
  <c r="D123" i="2"/>
  <c r="J217" i="5"/>
  <c r="K160" i="6"/>
  <c r="J215" i="5"/>
  <c r="J138" i="5"/>
  <c r="J136" i="5"/>
  <c r="J134" i="5"/>
  <c r="J137" i="5"/>
  <c r="H214" i="4"/>
  <c r="I214" i="4" s="1"/>
  <c r="J214" i="4" s="1"/>
  <c r="H188" i="4"/>
  <c r="I188" i="4" s="1"/>
  <c r="J188" i="4" s="1"/>
  <c r="H160" i="4"/>
  <c r="I160" i="4" s="1"/>
  <c r="J160" i="4" s="1"/>
  <c r="H26" i="4"/>
  <c r="I26" i="4" s="1"/>
  <c r="J26" i="4" s="1"/>
  <c r="J27" i="4"/>
  <c r="H27" i="4"/>
  <c r="I27" i="4" s="1"/>
  <c r="K30" i="6"/>
  <c r="K92" i="6"/>
  <c r="K198" i="6"/>
  <c r="J177" i="5"/>
  <c r="J178" i="5"/>
  <c r="J179" i="5"/>
  <c r="J175" i="5"/>
  <c r="J176" i="5"/>
  <c r="J42" i="5"/>
  <c r="J107" i="5"/>
  <c r="J110" i="5"/>
  <c r="J109" i="5"/>
  <c r="Q25" i="6"/>
  <c r="K25" i="6"/>
  <c r="S30" i="5"/>
  <c r="J29" i="5"/>
  <c r="P30" i="5"/>
  <c r="J30" i="5"/>
  <c r="S29" i="5"/>
  <c r="P29" i="5"/>
  <c r="F15" i="4"/>
  <c r="K29" i="6"/>
  <c r="N29" i="6"/>
  <c r="J38" i="5"/>
  <c r="S38" i="5"/>
  <c r="J39" i="5"/>
  <c r="M38" i="5"/>
  <c r="Q36" i="6"/>
  <c r="N36" i="6"/>
  <c r="K36" i="6"/>
  <c r="F24" i="4"/>
  <c r="E46" i="4"/>
  <c r="F46" i="4"/>
  <c r="Q156" i="6"/>
  <c r="N156" i="6"/>
  <c r="K156" i="6"/>
  <c r="K157" i="6"/>
  <c r="F67" i="4"/>
  <c r="E67" i="4"/>
  <c r="N187" i="6"/>
  <c r="Q188" i="6"/>
  <c r="K188" i="6"/>
  <c r="Q191" i="6"/>
  <c r="N191" i="6"/>
  <c r="K191" i="6"/>
  <c r="K186" i="6"/>
  <c r="Q190" i="6"/>
  <c r="N190" i="6"/>
  <c r="Q185" i="6"/>
  <c r="N185" i="6"/>
  <c r="K185" i="6"/>
  <c r="S154" i="5"/>
  <c r="S156" i="5"/>
  <c r="S153" i="5"/>
  <c r="S155" i="5"/>
  <c r="P155" i="5"/>
  <c r="J155" i="5"/>
  <c r="F74" i="4"/>
  <c r="E74" i="4"/>
  <c r="E151" i="4"/>
  <c r="F151" i="4"/>
  <c r="F173" i="4"/>
  <c r="E173" i="4"/>
  <c r="D20" i="2"/>
  <c r="Q29" i="6" s="1"/>
  <c r="D167" i="2"/>
  <c r="C177" i="2"/>
  <c r="N198" i="6"/>
  <c r="N91" i="6"/>
  <c r="N30" i="6"/>
  <c r="M179" i="5"/>
  <c r="M176" i="5"/>
  <c r="N90" i="6"/>
  <c r="N31" i="6"/>
  <c r="M177" i="5"/>
  <c r="M175" i="5"/>
  <c r="M40" i="5"/>
  <c r="M110" i="5"/>
  <c r="E15" i="4"/>
  <c r="E20" i="4"/>
  <c r="E24" i="4"/>
  <c r="H34" i="4"/>
  <c r="I34" i="4" s="1"/>
  <c r="J34" i="4" s="1"/>
  <c r="N103" i="6"/>
  <c r="E50" i="4"/>
  <c r="H53" i="4"/>
  <c r="I53" i="4" s="1"/>
  <c r="J53" i="4" s="1"/>
  <c r="N138" i="6"/>
  <c r="N137" i="6"/>
  <c r="K137" i="6"/>
  <c r="K140" i="6"/>
  <c r="Q137" i="6"/>
  <c r="F60" i="4"/>
  <c r="E60" i="4"/>
  <c r="Q144" i="6"/>
  <c r="Q143" i="6"/>
  <c r="Q146" i="6"/>
  <c r="K145" i="6"/>
  <c r="N144" i="6"/>
  <c r="K144" i="6"/>
  <c r="J130" i="5"/>
  <c r="F64" i="4"/>
  <c r="E64" i="4"/>
  <c r="Q195" i="6"/>
  <c r="N195" i="6"/>
  <c r="J169" i="5"/>
  <c r="S169" i="5"/>
  <c r="P169" i="5"/>
  <c r="M169" i="5"/>
  <c r="M170" i="5"/>
  <c r="F89" i="4"/>
  <c r="E89" i="4"/>
  <c r="D156" i="2"/>
  <c r="C162" i="2"/>
  <c r="C161" i="2"/>
  <c r="E180" i="4" s="1"/>
  <c r="K66" i="6"/>
  <c r="Q65" i="6"/>
  <c r="N66" i="6"/>
  <c r="N65" i="6"/>
  <c r="K65" i="6"/>
  <c r="S67" i="5"/>
  <c r="M67" i="5"/>
  <c r="S71" i="5"/>
  <c r="P71" i="5"/>
  <c r="M71" i="5"/>
  <c r="S69" i="5"/>
  <c r="F37" i="4"/>
  <c r="E37" i="4"/>
  <c r="J211" i="5"/>
  <c r="J213" i="5"/>
  <c r="J212" i="5"/>
  <c r="J209" i="5"/>
  <c r="J210" i="5"/>
  <c r="J208" i="5"/>
  <c r="S21" i="5"/>
  <c r="P21" i="5"/>
  <c r="M21" i="5"/>
  <c r="E10" i="4"/>
  <c r="F20" i="4"/>
  <c r="J86" i="5"/>
  <c r="F50" i="4"/>
  <c r="S124" i="5"/>
  <c r="J124" i="5"/>
  <c r="S123" i="5"/>
  <c r="M122" i="5"/>
  <c r="F57" i="4"/>
  <c r="E57" i="4"/>
  <c r="H84" i="4"/>
  <c r="I84" i="4" s="1"/>
  <c r="J84" i="4" s="1"/>
  <c r="F94" i="4"/>
  <c r="E94" i="4"/>
  <c r="F166" i="4"/>
  <c r="E153" i="4"/>
  <c r="C144" i="2"/>
  <c r="C138" i="2"/>
  <c r="C143" i="2"/>
  <c r="E162" i="4" s="1"/>
  <c r="C137" i="2"/>
  <c r="E156" i="4" s="1"/>
  <c r="C142" i="2"/>
  <c r="E161" i="4" s="1"/>
  <c r="C160" i="2"/>
  <c r="E179" i="4" s="1"/>
  <c r="H189" i="4"/>
  <c r="I189" i="4" s="1"/>
  <c r="J189" i="4" s="1"/>
  <c r="C186" i="2"/>
  <c r="C180" i="2"/>
  <c r="C185" i="2"/>
  <c r="C179" i="2"/>
  <c r="C188" i="2"/>
  <c r="E207" i="4" s="1"/>
  <c r="K205" i="6"/>
  <c r="J207" i="5"/>
  <c r="J205" i="5"/>
  <c r="J204" i="5"/>
  <c r="M209" i="5"/>
  <c r="M213" i="5"/>
  <c r="N111" i="6"/>
  <c r="M212" i="5"/>
  <c r="M211" i="5"/>
  <c r="M210" i="5"/>
  <c r="M214" i="5"/>
  <c r="K42" i="6"/>
  <c r="K45" i="6"/>
  <c r="J49" i="5"/>
  <c r="S35" i="5"/>
  <c r="J35" i="5"/>
  <c r="M35" i="5"/>
  <c r="S34" i="5"/>
  <c r="P34" i="5"/>
  <c r="M34" i="5"/>
  <c r="J34" i="5"/>
  <c r="E18" i="4"/>
  <c r="J29" i="4"/>
  <c r="J40" i="4"/>
  <c r="Q84" i="6"/>
  <c r="K84" i="6"/>
  <c r="Q83" i="6"/>
  <c r="N83" i="6"/>
  <c r="K83" i="6"/>
  <c r="J99" i="5"/>
  <c r="M97" i="5"/>
  <c r="S99" i="5"/>
  <c r="J97" i="5"/>
  <c r="P99" i="5"/>
  <c r="M99" i="5"/>
  <c r="S98" i="5"/>
  <c r="M101" i="5"/>
  <c r="M98" i="5"/>
  <c r="J98" i="5"/>
  <c r="N84" i="6"/>
  <c r="S100" i="5"/>
  <c r="M100" i="5"/>
  <c r="P97" i="5"/>
  <c r="F43" i="4"/>
  <c r="Q96" i="6"/>
  <c r="N96" i="6"/>
  <c r="K96" i="6"/>
  <c r="F47" i="4"/>
  <c r="E47" i="4"/>
  <c r="P60" i="5"/>
  <c r="S60" i="5"/>
  <c r="J60" i="5"/>
  <c r="M60" i="5"/>
  <c r="D134" i="2"/>
  <c r="D178" i="2"/>
  <c r="M215" i="5"/>
  <c r="N160" i="6"/>
  <c r="N159" i="6"/>
  <c r="M217" i="5"/>
  <c r="M136" i="5"/>
  <c r="M139" i="5"/>
  <c r="M137" i="5"/>
  <c r="H5" i="4"/>
  <c r="I5" i="4" s="1"/>
  <c r="J5" i="4" s="1"/>
  <c r="F18" i="4"/>
  <c r="P45" i="5"/>
  <c r="S44" i="5"/>
  <c r="E22" i="4"/>
  <c r="M44" i="5"/>
  <c r="Q61" i="6"/>
  <c r="K61" i="6"/>
  <c r="E35" i="4"/>
  <c r="E43" i="4"/>
  <c r="E133" i="4"/>
  <c r="H190" i="4"/>
  <c r="I190" i="4" s="1"/>
  <c r="J190" i="4" s="1"/>
  <c r="C192" i="2"/>
  <c r="E211" i="4" s="1"/>
  <c r="C191" i="2"/>
  <c r="K203" i="6"/>
  <c r="J197" i="5"/>
  <c r="J199" i="5"/>
  <c r="J198" i="5"/>
  <c r="N204" i="6"/>
  <c r="M203" i="5"/>
  <c r="M200" i="5"/>
  <c r="M201" i="5"/>
  <c r="N132" i="6"/>
  <c r="N136" i="6"/>
  <c r="M128" i="5"/>
  <c r="M125" i="5"/>
  <c r="M127" i="5"/>
  <c r="M126" i="5"/>
  <c r="Q19" i="6"/>
  <c r="N19" i="6"/>
  <c r="S17" i="5"/>
  <c r="J17" i="5"/>
  <c r="S16" i="5"/>
  <c r="P16" i="5"/>
  <c r="M16" i="5"/>
  <c r="N37" i="6"/>
  <c r="K37" i="6"/>
  <c r="F25" i="4"/>
  <c r="E25" i="4"/>
  <c r="H54" i="4"/>
  <c r="I54" i="4" s="1"/>
  <c r="J54" i="4" s="1"/>
  <c r="Q192" i="6"/>
  <c r="N192" i="6"/>
  <c r="K192" i="6"/>
  <c r="F76" i="4"/>
  <c r="E76" i="4"/>
  <c r="F85" i="4"/>
  <c r="E85" i="4"/>
  <c r="C174" i="2"/>
  <c r="C168" i="2"/>
  <c r="C173" i="2"/>
  <c r="D145" i="2"/>
  <c r="C150" i="2"/>
  <c r="C155" i="2"/>
  <c r="C149" i="2"/>
  <c r="E168" i="4" s="1"/>
  <c r="C163" i="2"/>
  <c r="E182" i="4" s="1"/>
  <c r="C181" i="2"/>
  <c r="E200" i="4" s="1"/>
  <c r="D189" i="2"/>
  <c r="E8" i="4"/>
  <c r="E11" i="4"/>
  <c r="J30" i="4"/>
  <c r="H30" i="4"/>
  <c r="I30" i="4" s="1"/>
  <c r="Q98" i="6"/>
  <c r="E48" i="4"/>
  <c r="F72" i="4"/>
  <c r="E72" i="4"/>
  <c r="E86" i="4"/>
  <c r="F134" i="4"/>
  <c r="E134" i="4"/>
  <c r="D13" i="2"/>
  <c r="D18" i="2"/>
  <c r="H79" i="4"/>
  <c r="I79" i="4" s="1"/>
  <c r="J79" i="4" s="1"/>
  <c r="K208" i="6"/>
  <c r="J218" i="5"/>
  <c r="J219" i="5"/>
  <c r="J151" i="5"/>
  <c r="J148" i="5"/>
  <c r="J149" i="5"/>
  <c r="J152" i="5"/>
  <c r="C136" i="2"/>
  <c r="C146" i="2"/>
  <c r="C154" i="2"/>
  <c r="C164" i="2"/>
  <c r="C172" i="2"/>
  <c r="E191" i="4" s="1"/>
  <c r="C182" i="2"/>
  <c r="E201" i="4" s="1"/>
  <c r="C190" i="2"/>
  <c r="F8" i="4"/>
  <c r="Q40" i="6"/>
  <c r="F28" i="4"/>
  <c r="Q60" i="6"/>
  <c r="N60" i="6"/>
  <c r="K60" i="6"/>
  <c r="Q59" i="6"/>
  <c r="N59" i="6"/>
  <c r="K59" i="6"/>
  <c r="M57" i="5"/>
  <c r="J57" i="5"/>
  <c r="P59" i="5"/>
  <c r="J59" i="5"/>
  <c r="S57" i="5"/>
  <c r="M56" i="5"/>
  <c r="Q64" i="6"/>
  <c r="N64" i="6"/>
  <c r="K64" i="6"/>
  <c r="K63" i="6"/>
  <c r="S64" i="5"/>
  <c r="M64" i="5"/>
  <c r="J64" i="5"/>
  <c r="P63" i="5"/>
  <c r="M63" i="5"/>
  <c r="S66" i="5"/>
  <c r="S63" i="5"/>
  <c r="J63" i="5"/>
  <c r="M62" i="5"/>
  <c r="F36" i="4"/>
  <c r="H38" i="4"/>
  <c r="I38" i="4" s="1"/>
  <c r="J38" i="4" s="1"/>
  <c r="F48" i="4"/>
  <c r="Q120" i="6"/>
  <c r="K120" i="6"/>
  <c r="N120" i="6"/>
  <c r="Q119" i="6"/>
  <c r="N119" i="6"/>
  <c r="K119" i="6"/>
  <c r="F55" i="4"/>
  <c r="E55" i="4"/>
  <c r="J58" i="4"/>
  <c r="N141" i="6"/>
  <c r="F62" i="4"/>
  <c r="E62" i="4"/>
  <c r="Q168" i="6"/>
  <c r="K169" i="6"/>
  <c r="N167" i="6"/>
  <c r="K167" i="6"/>
  <c r="Q173" i="6"/>
  <c r="N173" i="6"/>
  <c r="Q169" i="6"/>
  <c r="K173" i="6"/>
  <c r="N168" i="6"/>
  <c r="Q172" i="6"/>
  <c r="K168" i="6"/>
  <c r="N172" i="6"/>
  <c r="Q167" i="6"/>
  <c r="K172" i="6"/>
  <c r="M141" i="5"/>
  <c r="S140" i="5"/>
  <c r="M140" i="5"/>
  <c r="J141" i="5"/>
  <c r="J140" i="5"/>
  <c r="P143" i="5"/>
  <c r="S142" i="5"/>
  <c r="M142" i="5"/>
  <c r="S141" i="5"/>
  <c r="F69" i="4"/>
  <c r="E69" i="4"/>
  <c r="J96" i="4"/>
  <c r="N208" i="6"/>
  <c r="M219" i="5"/>
  <c r="N177" i="6"/>
  <c r="M218" i="5"/>
  <c r="M220" i="5"/>
  <c r="M151" i="5"/>
  <c r="M152" i="5"/>
  <c r="M148" i="5"/>
  <c r="K200" i="6"/>
  <c r="K97" i="6"/>
  <c r="J185" i="5"/>
  <c r="J187" i="5"/>
  <c r="J184" i="5"/>
  <c r="N100" i="6"/>
  <c r="M189" i="5"/>
  <c r="M188" i="5"/>
  <c r="M190" i="5"/>
  <c r="N201" i="6"/>
  <c r="M191" i="5"/>
  <c r="N113" i="6"/>
  <c r="N115" i="6"/>
  <c r="M111" i="5"/>
  <c r="M112" i="5"/>
  <c r="J16" i="4"/>
  <c r="J41" i="4"/>
  <c r="H41" i="4"/>
  <c r="I41" i="4" s="1"/>
  <c r="J44" i="4"/>
  <c r="H44" i="4"/>
  <c r="I44" i="4" s="1"/>
  <c r="Q108" i="6"/>
  <c r="N108" i="6"/>
  <c r="K108" i="6"/>
  <c r="E52" i="4"/>
  <c r="H81" i="4"/>
  <c r="I81" i="4" s="1"/>
  <c r="J81" i="4"/>
  <c r="C147" i="2"/>
  <c r="E166" i="4" s="1"/>
  <c r="C165" i="2"/>
  <c r="C183" i="2"/>
  <c r="E202" i="4" s="1"/>
  <c r="P4" i="5"/>
  <c r="F6" i="4"/>
  <c r="J6" i="4" s="1"/>
  <c r="Q20" i="6"/>
  <c r="K20" i="6"/>
  <c r="P18" i="5"/>
  <c r="J18" i="5"/>
  <c r="P19" i="5"/>
  <c r="M19" i="5"/>
  <c r="J19" i="5"/>
  <c r="E9" i="4"/>
  <c r="S18" i="5"/>
  <c r="E23" i="4"/>
  <c r="H28" i="4"/>
  <c r="I28" i="4" s="1"/>
  <c r="J28" i="4" s="1"/>
  <c r="F33" i="4"/>
  <c r="F52" i="4"/>
  <c r="N209" i="6"/>
  <c r="K209" i="6"/>
  <c r="M164" i="5"/>
  <c r="M163" i="5"/>
  <c r="Q209" i="6"/>
  <c r="S163" i="5"/>
  <c r="P163" i="5"/>
  <c r="J163" i="5"/>
  <c r="S164" i="5"/>
  <c r="J164" i="5"/>
  <c r="F87" i="4"/>
  <c r="E87" i="4"/>
  <c r="J102" i="4"/>
  <c r="E192" i="4"/>
  <c r="F192" i="4"/>
  <c r="D14" i="2"/>
  <c r="C139" i="2"/>
  <c r="E158" i="4" s="1"/>
  <c r="C157" i="2"/>
  <c r="E176" i="4" s="1"/>
  <c r="C175" i="2"/>
  <c r="E194" i="4" s="1"/>
  <c r="C193" i="2"/>
  <c r="N199" i="6"/>
  <c r="N95" i="6"/>
  <c r="M183" i="5"/>
  <c r="M181" i="5"/>
  <c r="H4" i="4"/>
  <c r="I4" i="4" s="1"/>
  <c r="J4" i="4" s="1"/>
  <c r="H6" i="4"/>
  <c r="I6" i="4" s="1"/>
  <c r="J24" i="5"/>
  <c r="M23" i="5"/>
  <c r="F12" i="4"/>
  <c r="E12" i="4"/>
  <c r="Q48" i="6"/>
  <c r="K48" i="6"/>
  <c r="Q47" i="6"/>
  <c r="K47" i="6"/>
  <c r="N48" i="6"/>
  <c r="N47" i="6"/>
  <c r="N46" i="6"/>
  <c r="K49" i="6"/>
  <c r="E31" i="4"/>
  <c r="C140" i="2"/>
  <c r="E159" i="4" s="1"/>
  <c r="C158" i="2"/>
  <c r="E177" i="4" s="1"/>
  <c r="C166" i="2"/>
  <c r="E185" i="4" s="1"/>
  <c r="C176" i="2"/>
  <c r="C184" i="2"/>
  <c r="E203" i="4" s="1"/>
  <c r="C194" i="2"/>
  <c r="H17" i="4"/>
  <c r="I17" i="4" s="1"/>
  <c r="J17" i="4" s="1"/>
  <c r="E141" i="4"/>
  <c r="E205" i="4"/>
  <c r="F205" i="4"/>
  <c r="S6" i="5"/>
  <c r="K23" i="6"/>
  <c r="Q23" i="6"/>
  <c r="N23" i="6"/>
  <c r="P25" i="5"/>
  <c r="J25" i="5"/>
  <c r="S25" i="5"/>
  <c r="M25" i="5"/>
  <c r="P26" i="5"/>
  <c r="M26" i="5"/>
  <c r="N68" i="6"/>
  <c r="N70" i="6"/>
  <c r="S75" i="5"/>
  <c r="P75" i="5"/>
  <c r="M75" i="5"/>
  <c r="J75" i="5"/>
  <c r="M74" i="5"/>
  <c r="K128" i="6"/>
  <c r="Q125" i="6"/>
  <c r="Q124" i="6"/>
  <c r="N124" i="6"/>
  <c r="K124" i="6"/>
  <c r="Q128" i="6"/>
  <c r="N123" i="6"/>
  <c r="Q121" i="6"/>
  <c r="K121" i="6"/>
  <c r="S118" i="5"/>
  <c r="M118" i="5"/>
  <c r="P117" i="5"/>
  <c r="J120" i="5"/>
  <c r="M117" i="5"/>
  <c r="S119" i="5"/>
  <c r="S116" i="5"/>
  <c r="P119" i="5"/>
  <c r="J119" i="5"/>
  <c r="F56" i="4"/>
  <c r="H56" i="4" s="1"/>
  <c r="I56" i="4" s="1"/>
  <c r="M115" i="5"/>
  <c r="Q155" i="6"/>
  <c r="N155" i="6"/>
  <c r="K155" i="6"/>
  <c r="K164" i="6"/>
  <c r="N162" i="6"/>
  <c r="K162" i="6"/>
  <c r="Q164" i="6"/>
  <c r="F68" i="4"/>
  <c r="E83" i="4"/>
  <c r="F123" i="4"/>
  <c r="E123" i="4"/>
  <c r="E181" i="4"/>
  <c r="F181" i="4"/>
  <c r="J91" i="4"/>
  <c r="K217" i="6"/>
  <c r="F101" i="4"/>
  <c r="E101" i="4"/>
  <c r="J103" i="4"/>
  <c r="F139" i="4"/>
  <c r="E139" i="4"/>
  <c r="E154" i="4"/>
  <c r="E157" i="4"/>
  <c r="E170" i="4"/>
  <c r="F174" i="4"/>
  <c r="E174" i="4"/>
  <c r="F196" i="4"/>
  <c r="E196" i="4"/>
  <c r="P133" i="5"/>
  <c r="M133" i="5"/>
  <c r="J133" i="5"/>
  <c r="S133" i="5"/>
  <c r="E144" i="4"/>
  <c r="E213" i="4"/>
  <c r="J26" i="5"/>
  <c r="S93" i="5"/>
  <c r="P93" i="5"/>
  <c r="J96" i="5"/>
  <c r="J93" i="5"/>
  <c r="P95" i="5"/>
  <c r="S92" i="5"/>
  <c r="J92" i="5"/>
  <c r="H66" i="4"/>
  <c r="I66" i="4" s="1"/>
  <c r="J66" i="4" s="1"/>
  <c r="E99" i="4"/>
  <c r="E130" i="4"/>
  <c r="E137" i="4"/>
  <c r="F144" i="4"/>
  <c r="F197" i="4"/>
  <c r="E197" i="4"/>
  <c r="F213" i="4"/>
  <c r="M18" i="5"/>
  <c r="S37" i="5"/>
  <c r="P37" i="5"/>
  <c r="M37" i="5"/>
  <c r="J37" i="5"/>
  <c r="K204" i="6"/>
  <c r="J201" i="5"/>
  <c r="J203" i="5"/>
  <c r="M206" i="5"/>
  <c r="M207" i="5"/>
  <c r="M205" i="5"/>
  <c r="N43" i="6"/>
  <c r="N42" i="6"/>
  <c r="M48" i="5"/>
  <c r="M49" i="5"/>
  <c r="K133" i="6"/>
  <c r="K132" i="6"/>
  <c r="K136" i="6"/>
  <c r="J128" i="5"/>
  <c r="J125" i="5"/>
  <c r="J127" i="5"/>
  <c r="J126" i="5"/>
  <c r="Q12" i="6"/>
  <c r="K12" i="6"/>
  <c r="N12" i="6"/>
  <c r="Q11" i="6"/>
  <c r="K11" i="6"/>
  <c r="Q16" i="6"/>
  <c r="Q17" i="6"/>
  <c r="N11" i="6"/>
  <c r="N16" i="6"/>
  <c r="K16" i="6"/>
  <c r="K9" i="6"/>
  <c r="M10" i="5"/>
  <c r="J5" i="5"/>
  <c r="M7" i="5"/>
  <c r="S10" i="5"/>
  <c r="P10" i="5"/>
  <c r="J10" i="5"/>
  <c r="S12" i="5"/>
  <c r="J12" i="5"/>
  <c r="S8" i="5"/>
  <c r="P8" i="5"/>
  <c r="S5" i="5"/>
  <c r="S11" i="5"/>
  <c r="J8" i="5"/>
  <c r="P5" i="5"/>
  <c r="M11" i="5"/>
  <c r="P33" i="5"/>
  <c r="S32" i="5"/>
  <c r="J32" i="5"/>
  <c r="S31" i="5"/>
  <c r="M31" i="5"/>
  <c r="J33" i="5"/>
  <c r="E42" i="4"/>
  <c r="Q88" i="6"/>
  <c r="N88" i="6"/>
  <c r="K88" i="6"/>
  <c r="N87" i="6"/>
  <c r="S105" i="5"/>
  <c r="M105" i="5"/>
  <c r="J105" i="5"/>
  <c r="M104" i="5"/>
  <c r="J104" i="5"/>
  <c r="S106" i="5"/>
  <c r="S103" i="5"/>
  <c r="M106" i="5"/>
  <c r="P103" i="5"/>
  <c r="N211" i="6"/>
  <c r="E95" i="4"/>
  <c r="E97" i="4"/>
  <c r="E164" i="4"/>
  <c r="E175" i="4"/>
  <c r="F198" i="4"/>
  <c r="E198" i="4"/>
  <c r="F208" i="4"/>
  <c r="E208" i="4"/>
  <c r="E140" i="4"/>
  <c r="F186" i="4"/>
  <c r="E186" i="4"/>
  <c r="S39" i="5"/>
  <c r="J195" i="5"/>
  <c r="J194" i="5"/>
  <c r="J193" i="5"/>
  <c r="M198" i="5"/>
  <c r="N203" i="6"/>
  <c r="N106" i="6"/>
  <c r="M197" i="5"/>
  <c r="M196" i="5"/>
  <c r="M199" i="5"/>
  <c r="S14" i="5"/>
  <c r="S15" i="5"/>
  <c r="M13" i="5"/>
  <c r="J14" i="5"/>
  <c r="J13" i="5"/>
  <c r="P15" i="5"/>
  <c r="J15" i="5"/>
  <c r="N28" i="6"/>
  <c r="Q28" i="6"/>
  <c r="K28" i="6"/>
  <c r="S36" i="5"/>
  <c r="P36" i="5"/>
  <c r="Q53" i="6"/>
  <c r="K56" i="6"/>
  <c r="N52" i="6"/>
  <c r="K52" i="6"/>
  <c r="N54" i="6"/>
  <c r="Q52" i="6"/>
  <c r="Q56" i="6"/>
  <c r="J51" i="5"/>
  <c r="M53" i="5"/>
  <c r="S50" i="5"/>
  <c r="M50" i="5"/>
  <c r="J50" i="5"/>
  <c r="S54" i="5"/>
  <c r="M54" i="5"/>
  <c r="P51" i="5"/>
  <c r="M51" i="5"/>
  <c r="J52" i="5"/>
  <c r="S51" i="5"/>
  <c r="J54" i="5"/>
  <c r="N101" i="6"/>
  <c r="K101" i="6"/>
  <c r="Q101" i="6"/>
  <c r="N105" i="6"/>
  <c r="F51" i="4"/>
  <c r="E51" i="4"/>
  <c r="Q131" i="6"/>
  <c r="N131" i="6"/>
  <c r="K131" i="6"/>
  <c r="Q142" i="6"/>
  <c r="N142" i="6"/>
  <c r="F63" i="4"/>
  <c r="E63" i="4"/>
  <c r="N174" i="6"/>
  <c r="N175" i="6"/>
  <c r="Q180" i="6"/>
  <c r="K180" i="6"/>
  <c r="Q182" i="6"/>
  <c r="K181" i="6"/>
  <c r="N180" i="6"/>
  <c r="S157" i="5"/>
  <c r="M158" i="5"/>
  <c r="F75" i="4"/>
  <c r="E75" i="4"/>
  <c r="E80" i="4"/>
  <c r="E82" i="4"/>
  <c r="P165" i="5"/>
  <c r="S167" i="5"/>
  <c r="S166" i="5"/>
  <c r="M166" i="5"/>
  <c r="S165" i="5"/>
  <c r="M165" i="5"/>
  <c r="J165" i="5"/>
  <c r="P167" i="5"/>
  <c r="M167" i="5"/>
  <c r="J167" i="5"/>
  <c r="F88" i="4"/>
  <c r="E88" i="4"/>
  <c r="E92" i="4"/>
  <c r="K227" i="6"/>
  <c r="Q224" i="6"/>
  <c r="Q228" i="6"/>
  <c r="N228" i="6"/>
  <c r="N223" i="6"/>
  <c r="K228" i="6"/>
  <c r="Q227" i="6"/>
  <c r="N227" i="6"/>
  <c r="N226" i="6"/>
  <c r="K224" i="6"/>
  <c r="E126" i="4"/>
  <c r="F140" i="4"/>
  <c r="E155" i="4"/>
  <c r="F155" i="4"/>
  <c r="E187" i="4"/>
  <c r="J11" i="5"/>
  <c r="K100" i="6"/>
  <c r="J189" i="5"/>
  <c r="J191" i="5"/>
  <c r="J188" i="5"/>
  <c r="N102" i="6"/>
  <c r="M194" i="5"/>
  <c r="M193" i="5"/>
  <c r="M195" i="5"/>
  <c r="K113" i="6"/>
  <c r="J111" i="5"/>
  <c r="J112" i="5"/>
  <c r="E7" i="4"/>
  <c r="K24" i="6"/>
  <c r="Q24" i="6"/>
  <c r="N24" i="6"/>
  <c r="M28" i="5"/>
  <c r="S28" i="5"/>
  <c r="J28" i="5"/>
  <c r="M27" i="5"/>
  <c r="E19" i="4"/>
  <c r="E32" i="4"/>
  <c r="Q72" i="6"/>
  <c r="K72" i="6"/>
  <c r="N73" i="6"/>
  <c r="K73" i="6"/>
  <c r="N72" i="6"/>
  <c r="M78" i="5"/>
  <c r="J78" i="5"/>
  <c r="S80" i="5"/>
  <c r="J80" i="5"/>
  <c r="S78" i="5"/>
  <c r="P77" i="5"/>
  <c r="E49" i="4"/>
  <c r="E59" i="4"/>
  <c r="E61" i="4"/>
  <c r="E71" i="4"/>
  <c r="E73" i="4"/>
  <c r="Q216" i="6"/>
  <c r="K216" i="6"/>
  <c r="N216" i="6"/>
  <c r="F100" i="4"/>
  <c r="E104" i="4"/>
  <c r="E122" i="4"/>
  <c r="E183" i="4"/>
  <c r="F187" i="4"/>
  <c r="F203" i="4"/>
  <c r="E210" i="4"/>
  <c r="E131" i="4"/>
  <c r="F172" i="4"/>
  <c r="E172" i="4"/>
  <c r="K95" i="6"/>
  <c r="J181" i="5"/>
  <c r="J183" i="5"/>
  <c r="J182" i="5"/>
  <c r="M187" i="5"/>
  <c r="M185" i="5"/>
  <c r="M184" i="5"/>
  <c r="N5" i="6"/>
  <c r="K5" i="6"/>
  <c r="Q5" i="6"/>
  <c r="K4" i="6"/>
  <c r="N7" i="6"/>
  <c r="K6" i="6"/>
  <c r="M4" i="5"/>
  <c r="J4" i="5"/>
  <c r="F14" i="4"/>
  <c r="H14" i="4" s="1"/>
  <c r="I14" i="4" s="1"/>
  <c r="J14" i="4" s="1"/>
  <c r="Q41" i="6"/>
  <c r="N41" i="6"/>
  <c r="K41" i="6"/>
  <c r="F39" i="4"/>
  <c r="H39" i="4" s="1"/>
  <c r="I39" i="4" s="1"/>
  <c r="N79" i="6"/>
  <c r="K78" i="6"/>
  <c r="N77" i="6"/>
  <c r="K77" i="6"/>
  <c r="S88" i="5"/>
  <c r="J88" i="5"/>
  <c r="Q77" i="6"/>
  <c r="S91" i="5"/>
  <c r="P91" i="5"/>
  <c r="M91" i="5"/>
  <c r="M88" i="5"/>
  <c r="J91" i="5"/>
  <c r="S87" i="5"/>
  <c r="J87" i="5"/>
  <c r="P89" i="5"/>
  <c r="M89" i="5"/>
  <c r="J89" i="5"/>
  <c r="E98" i="4"/>
  <c r="E129" i="4"/>
  <c r="F131" i="4"/>
  <c r="S22" i="5"/>
  <c r="M22" i="5"/>
  <c r="P22" i="5"/>
  <c r="J22" i="5"/>
  <c r="M41" i="5"/>
  <c r="J41" i="5"/>
  <c r="S61" i="5"/>
  <c r="P61" i="5"/>
  <c r="M61" i="5"/>
  <c r="J61" i="5"/>
  <c r="P68" i="5"/>
  <c r="M68" i="5"/>
  <c r="S68" i="5"/>
  <c r="J68" i="5"/>
  <c r="M5" i="5"/>
  <c r="M8" i="5"/>
  <c r="M15" i="5"/>
  <c r="S19" i="5"/>
  <c r="J23" i="5"/>
  <c r="S23" i="5"/>
  <c r="P23" i="5"/>
  <c r="M30" i="5"/>
  <c r="P41" i="5"/>
  <c r="S45" i="5"/>
  <c r="P69" i="5"/>
  <c r="M69" i="5"/>
  <c r="J69" i="5"/>
  <c r="S77" i="5"/>
  <c r="S41" i="5"/>
  <c r="S117" i="5"/>
  <c r="P12" i="5"/>
  <c r="M12" i="5"/>
  <c r="J27" i="5"/>
  <c r="S27" i="5"/>
  <c r="P27" i="5"/>
  <c r="E199" i="4"/>
  <c r="P24" i="5"/>
  <c r="M42" i="5"/>
  <c r="S56" i="5"/>
  <c r="M119" i="5"/>
  <c r="S9" i="5"/>
  <c r="M9" i="5"/>
  <c r="P20" i="5"/>
  <c r="J20" i="5"/>
  <c r="M20" i="5"/>
  <c r="E167" i="4"/>
  <c r="J6" i="5"/>
  <c r="J9" i="5"/>
  <c r="P13" i="5"/>
  <c r="S20" i="5"/>
  <c r="M24" i="5"/>
  <c r="P28" i="5"/>
  <c r="M39" i="5"/>
  <c r="S47" i="5"/>
  <c r="P47" i="5"/>
  <c r="S147" i="5"/>
  <c r="P147" i="5"/>
  <c r="M147" i="5"/>
  <c r="J147" i="5"/>
  <c r="E152" i="4"/>
  <c r="E163" i="4"/>
  <c r="E165" i="4"/>
  <c r="F167" i="4"/>
  <c r="E169" i="4"/>
  <c r="E171" i="4"/>
  <c r="E184" i="4"/>
  <c r="E195" i="4"/>
  <c r="E204" i="4"/>
  <c r="E209" i="4"/>
  <c r="M6" i="5"/>
  <c r="P9" i="5"/>
  <c r="J21" i="5"/>
  <c r="S24" i="5"/>
  <c r="P39" i="5"/>
  <c r="J43" i="5"/>
  <c r="S43" i="5"/>
  <c r="P43" i="5"/>
  <c r="J47" i="5"/>
  <c r="J65" i="5"/>
  <c r="P65" i="5"/>
  <c r="M65" i="5"/>
  <c r="P73" i="5"/>
  <c r="S73" i="5"/>
  <c r="M73" i="5"/>
  <c r="J73" i="5"/>
  <c r="Q75" i="6"/>
  <c r="S84" i="5"/>
  <c r="M84" i="5"/>
  <c r="J84" i="5"/>
  <c r="S86" i="5"/>
  <c r="N151" i="6"/>
  <c r="Q154" i="6"/>
  <c r="N154" i="6"/>
  <c r="Q149" i="6"/>
  <c r="N149" i="6"/>
  <c r="K149" i="6"/>
  <c r="Q152" i="6"/>
  <c r="K152" i="6"/>
  <c r="N150" i="6"/>
  <c r="J132" i="5"/>
  <c r="E70" i="4"/>
  <c r="P161" i="5"/>
  <c r="S160" i="5"/>
  <c r="S161" i="5"/>
  <c r="M161" i="5"/>
  <c r="J161" i="5"/>
  <c r="N196" i="6"/>
  <c r="K196" i="6"/>
  <c r="P171" i="5"/>
  <c r="M173" i="5"/>
  <c r="Q196" i="6"/>
  <c r="J173" i="5"/>
  <c r="S171" i="5"/>
  <c r="M171" i="5"/>
  <c r="J171" i="5"/>
  <c r="S173" i="5"/>
  <c r="P173" i="5"/>
  <c r="N221" i="6"/>
  <c r="N222" i="6"/>
  <c r="K222" i="6"/>
  <c r="Q221" i="6"/>
  <c r="K221" i="6"/>
  <c r="E143" i="4"/>
  <c r="E193" i="4"/>
  <c r="E212" i="4"/>
  <c r="S4" i="5"/>
  <c r="P6" i="5"/>
  <c r="P17" i="5"/>
  <c r="M17" i="5"/>
  <c r="P32" i="5"/>
  <c r="M32" i="5"/>
  <c r="M36" i="5"/>
  <c r="J36" i="5"/>
  <c r="M43" i="5"/>
  <c r="M47" i="5"/>
  <c r="S65" i="5"/>
  <c r="M29" i="5"/>
  <c r="P44" i="5"/>
  <c r="J44" i="5"/>
  <c r="S46" i="5"/>
  <c r="M46" i="5"/>
  <c r="S48" i="5"/>
  <c r="S95" i="5"/>
  <c r="M95" i="5"/>
  <c r="J129" i="5"/>
  <c r="M129" i="5"/>
  <c r="P158" i="5"/>
  <c r="S158" i="5"/>
  <c r="P11" i="5"/>
  <c r="J16" i="5"/>
  <c r="S26" i="5"/>
  <c r="P31" i="5"/>
  <c r="J31" i="5"/>
  <c r="J46" i="5"/>
  <c r="P54" i="5"/>
  <c r="J95" i="5"/>
  <c r="P104" i="5"/>
  <c r="S104" i="5"/>
  <c r="P116" i="5"/>
  <c r="M116" i="5"/>
  <c r="J116" i="5"/>
  <c r="P123" i="5"/>
  <c r="M123" i="5"/>
  <c r="J123" i="5"/>
  <c r="P129" i="5"/>
  <c r="J158" i="5"/>
  <c r="P72" i="5"/>
  <c r="J72" i="5"/>
  <c r="P81" i="5"/>
  <c r="S81" i="5"/>
  <c r="J81" i="5"/>
  <c r="P87" i="5"/>
  <c r="J101" i="5"/>
  <c r="P101" i="5"/>
  <c r="N62" i="6"/>
  <c r="K62" i="6"/>
  <c r="Q62" i="6"/>
  <c r="M72" i="5"/>
  <c r="M81" i="5"/>
  <c r="P90" i="5"/>
  <c r="J90" i="5"/>
  <c r="S90" i="5"/>
  <c r="M113" i="5"/>
  <c r="J113" i="5"/>
  <c r="S143" i="5"/>
  <c r="P52" i="5"/>
  <c r="P66" i="5"/>
  <c r="J66" i="5"/>
  <c r="M66" i="5"/>
  <c r="S72" i="5"/>
  <c r="M87" i="5"/>
  <c r="M90" i="5"/>
  <c r="M93" i="5"/>
  <c r="P96" i="5"/>
  <c r="S101" i="5"/>
  <c r="P113" i="5"/>
  <c r="J117" i="5"/>
  <c r="P120" i="5"/>
  <c r="M120" i="5"/>
  <c r="S120" i="5"/>
  <c r="P174" i="5"/>
  <c r="S174" i="5"/>
  <c r="M174" i="5"/>
  <c r="J174" i="5"/>
  <c r="P82" i="5"/>
  <c r="S135" i="5"/>
  <c r="J135" i="5"/>
  <c r="M135" i="5"/>
  <c r="P144" i="5"/>
  <c r="M144" i="5"/>
  <c r="S144" i="5"/>
  <c r="J144" i="5"/>
  <c r="M52" i="5"/>
  <c r="M55" i="5"/>
  <c r="P55" i="5"/>
  <c r="P58" i="5"/>
  <c r="J58" i="5"/>
  <c r="P70" i="5"/>
  <c r="S70" i="5"/>
  <c r="P76" i="5"/>
  <c r="M76" i="5"/>
  <c r="M79" i="5"/>
  <c r="J79" i="5"/>
  <c r="J82" i="5"/>
  <c r="J85" i="5"/>
  <c r="M96" i="5"/>
  <c r="P102" i="5"/>
  <c r="S102" i="5"/>
  <c r="J102" i="5"/>
  <c r="P108" i="5"/>
  <c r="S108" i="5"/>
  <c r="P114" i="5"/>
  <c r="J114" i="5"/>
  <c r="M114" i="5"/>
  <c r="J121" i="5"/>
  <c r="P121" i="5"/>
  <c r="M131" i="5"/>
  <c r="P131" i="5"/>
  <c r="J131" i="5"/>
  <c r="P135" i="5"/>
  <c r="P7" i="5"/>
  <c r="J7" i="5"/>
  <c r="P35" i="5"/>
  <c r="J40" i="5"/>
  <c r="J45" i="5"/>
  <c r="P50" i="5"/>
  <c r="S52" i="5"/>
  <c r="J55" i="5"/>
  <c r="M58" i="5"/>
  <c r="P67" i="5"/>
  <c r="J67" i="5"/>
  <c r="J70" i="5"/>
  <c r="J76" i="5"/>
  <c r="P79" i="5"/>
  <c r="M82" i="5"/>
  <c r="M85" i="5"/>
  <c r="S96" i="5"/>
  <c r="M102" i="5"/>
  <c r="J108" i="5"/>
  <c r="S114" i="5"/>
  <c r="M121" i="5"/>
  <c r="S131" i="5"/>
  <c r="S145" i="5"/>
  <c r="P145" i="5"/>
  <c r="M145" i="5"/>
  <c r="M45" i="5"/>
  <c r="S55" i="5"/>
  <c r="S58" i="5"/>
  <c r="M70" i="5"/>
  <c r="S76" i="5"/>
  <c r="S79" i="5"/>
  <c r="S82" i="5"/>
  <c r="P85" i="5"/>
  <c r="S97" i="5"/>
  <c r="M108" i="5"/>
  <c r="S121" i="5"/>
  <c r="P132" i="5"/>
  <c r="S132" i="5"/>
  <c r="J145" i="5"/>
  <c r="P56" i="5"/>
  <c r="P62" i="5"/>
  <c r="S62" i="5"/>
  <c r="J77" i="5"/>
  <c r="S83" i="5"/>
  <c r="P83" i="5"/>
  <c r="S85" i="5"/>
  <c r="P94" i="5"/>
  <c r="S94" i="5"/>
  <c r="M94" i="5"/>
  <c r="M103" i="5"/>
  <c r="S115" i="5"/>
  <c r="P115" i="5"/>
  <c r="P122" i="5"/>
  <c r="S122" i="5"/>
  <c r="P141" i="5"/>
  <c r="P146" i="5"/>
  <c r="S146" i="5"/>
  <c r="M146" i="5"/>
  <c r="J146" i="5"/>
  <c r="S13" i="5"/>
  <c r="S33" i="5"/>
  <c r="M33" i="5"/>
  <c r="J48" i="5"/>
  <c r="J56" i="5"/>
  <c r="S59" i="5"/>
  <c r="M59" i="5"/>
  <c r="J62" i="5"/>
  <c r="J71" i="5"/>
  <c r="P74" i="5"/>
  <c r="S74" i="5"/>
  <c r="J74" i="5"/>
  <c r="M77" i="5"/>
  <c r="P80" i="5"/>
  <c r="M80" i="5"/>
  <c r="J83" i="5"/>
  <c r="S89" i="5"/>
  <c r="J94" i="5"/>
  <c r="P100" i="5"/>
  <c r="J100" i="5"/>
  <c r="J103" i="5"/>
  <c r="P106" i="5"/>
  <c r="J106" i="5"/>
  <c r="S109" i="5"/>
  <c r="M109" i="5"/>
  <c r="J115" i="5"/>
  <c r="J122" i="5"/>
  <c r="M132" i="5"/>
  <c r="P150" i="5"/>
  <c r="M150" i="5"/>
  <c r="S150" i="5"/>
  <c r="J150" i="5"/>
  <c r="P180" i="5"/>
  <c r="S180" i="5"/>
  <c r="M180" i="5"/>
  <c r="J180" i="5"/>
  <c r="N125" i="6"/>
  <c r="P130" i="5"/>
  <c r="M130" i="5"/>
  <c r="J153" i="5"/>
  <c r="S159" i="5"/>
  <c r="J159" i="5"/>
  <c r="P162" i="5"/>
  <c r="J162" i="5"/>
  <c r="P168" i="5"/>
  <c r="M168" i="5"/>
  <c r="S168" i="5"/>
  <c r="K55" i="6"/>
  <c r="Q55" i="6"/>
  <c r="P57" i="5"/>
  <c r="P78" i="5"/>
  <c r="P92" i="5"/>
  <c r="M92" i="5"/>
  <c r="S130" i="5"/>
  <c r="M138" i="5"/>
  <c r="J143" i="5"/>
  <c r="M153" i="5"/>
  <c r="P156" i="5"/>
  <c r="J156" i="5"/>
  <c r="M159" i="5"/>
  <c r="M162" i="5"/>
  <c r="J168" i="5"/>
  <c r="N55" i="6"/>
  <c r="N193" i="6"/>
  <c r="Q193" i="6"/>
  <c r="K193" i="6"/>
  <c r="P118" i="5"/>
  <c r="J118" i="5"/>
  <c r="S138" i="5"/>
  <c r="M143" i="5"/>
  <c r="P153" i="5"/>
  <c r="M156" i="5"/>
  <c r="P159" i="5"/>
  <c r="S162" i="5"/>
  <c r="P160" i="5"/>
  <c r="Q69" i="6"/>
  <c r="K69" i="6"/>
  <c r="N69" i="6"/>
  <c r="P154" i="5"/>
  <c r="M154" i="5"/>
  <c r="P157" i="5"/>
  <c r="M157" i="5"/>
  <c r="J160" i="5"/>
  <c r="P172" i="5"/>
  <c r="S172" i="5"/>
  <c r="M172" i="5"/>
  <c r="P186" i="5"/>
  <c r="S186" i="5"/>
  <c r="M186" i="5"/>
  <c r="J186" i="5"/>
  <c r="P202" i="5"/>
  <c r="M202" i="5"/>
  <c r="J202" i="5"/>
  <c r="S202" i="5"/>
  <c r="P216" i="5"/>
  <c r="M216" i="5"/>
  <c r="S216" i="5"/>
  <c r="Q18" i="6"/>
  <c r="K18" i="6"/>
  <c r="J53" i="5"/>
  <c r="P86" i="5"/>
  <c r="P124" i="5"/>
  <c r="S126" i="5"/>
  <c r="S136" i="5"/>
  <c r="J139" i="5"/>
  <c r="M149" i="5"/>
  <c r="J154" i="5"/>
  <c r="J157" i="5"/>
  <c r="M160" i="5"/>
  <c r="J172" i="5"/>
  <c r="J216" i="5"/>
  <c r="N18" i="6"/>
  <c r="P53" i="5"/>
  <c r="P84" i="5"/>
  <c r="M86" i="5"/>
  <c r="P98" i="5"/>
  <c r="P105" i="5"/>
  <c r="M107" i="5"/>
  <c r="M124" i="5"/>
  <c r="M134" i="5"/>
  <c r="P149" i="5"/>
  <c r="P170" i="5"/>
  <c r="S170" i="5"/>
  <c r="P223" i="5"/>
  <c r="M223" i="5"/>
  <c r="J223" i="5"/>
  <c r="N13" i="6"/>
  <c r="Q13" i="6"/>
  <c r="K13" i="6"/>
  <c r="Q78" i="6"/>
  <c r="Q126" i="6"/>
  <c r="N126" i="6"/>
  <c r="K126" i="6"/>
  <c r="N134" i="6"/>
  <c r="K134" i="6"/>
  <c r="Q134" i="6"/>
  <c r="P64" i="5"/>
  <c r="P88" i="5"/>
  <c r="P142" i="5"/>
  <c r="J142" i="5"/>
  <c r="J170" i="5"/>
  <c r="P196" i="5"/>
  <c r="J196" i="5"/>
  <c r="S223" i="5"/>
  <c r="K31" i="6"/>
  <c r="Q31" i="6"/>
  <c r="N44" i="6"/>
  <c r="K44" i="6"/>
  <c r="K87" i="6"/>
  <c r="Q87" i="6"/>
  <c r="K118" i="6"/>
  <c r="Q118" i="6"/>
  <c r="K163" i="6"/>
  <c r="Q163" i="6"/>
  <c r="N163" i="6"/>
  <c r="P208" i="5"/>
  <c r="M208" i="5"/>
  <c r="P214" i="5"/>
  <c r="J214" i="5"/>
  <c r="N8" i="6"/>
  <c r="Q8" i="6"/>
  <c r="K8" i="6"/>
  <c r="N14" i="6"/>
  <c r="Q14" i="6"/>
  <c r="K14" i="6"/>
  <c r="N20" i="6"/>
  <c r="K51" i="6"/>
  <c r="N51" i="6"/>
  <c r="N110" i="6"/>
  <c r="K110" i="6"/>
  <c r="N118" i="6"/>
  <c r="Q4" i="6"/>
  <c r="N4" i="6"/>
  <c r="K15" i="6"/>
  <c r="Q15" i="6"/>
  <c r="N15" i="6"/>
  <c r="N26" i="6"/>
  <c r="K26" i="6"/>
  <c r="Q26" i="6"/>
  <c r="Q51" i="6"/>
  <c r="Q58" i="6"/>
  <c r="N58" i="6"/>
  <c r="K58" i="6"/>
  <c r="N80" i="6"/>
  <c r="Q80" i="6"/>
  <c r="K80" i="6"/>
  <c r="Q110" i="6"/>
  <c r="P166" i="5"/>
  <c r="J166" i="5"/>
  <c r="M182" i="5"/>
  <c r="S208" i="5"/>
  <c r="S214" i="5"/>
  <c r="Q21" i="6"/>
  <c r="K21" i="6"/>
  <c r="Q33" i="6"/>
  <c r="K33" i="6"/>
  <c r="N33" i="6"/>
  <c r="K39" i="6"/>
  <c r="Q39" i="6"/>
  <c r="N39" i="6"/>
  <c r="Q81" i="6"/>
  <c r="N81" i="6"/>
  <c r="K81" i="6"/>
  <c r="N176" i="6"/>
  <c r="Q176" i="6"/>
  <c r="K176" i="6"/>
  <c r="S182" i="5"/>
  <c r="P221" i="5"/>
  <c r="J221" i="5"/>
  <c r="M221" i="5"/>
  <c r="N21" i="6"/>
  <c r="Q27" i="6"/>
  <c r="N27" i="6"/>
  <c r="K27" i="6"/>
  <c r="K130" i="6"/>
  <c r="Q130" i="6"/>
  <c r="N130" i="6"/>
  <c r="P192" i="5"/>
  <c r="M192" i="5"/>
  <c r="K10" i="6"/>
  <c r="Q10" i="6"/>
  <c r="N10" i="6"/>
  <c r="Q22" i="6"/>
  <c r="N22" i="6"/>
  <c r="K22" i="6"/>
  <c r="K34" i="6"/>
  <c r="Q34" i="6"/>
  <c r="N34" i="6"/>
  <c r="N74" i="6"/>
  <c r="K74" i="6"/>
  <c r="Q74" i="6"/>
  <c r="S152" i="5"/>
  <c r="M155" i="5"/>
  <c r="M178" i="5"/>
  <c r="J192" i="5"/>
  <c r="P206" i="5"/>
  <c r="S206" i="5"/>
  <c r="J206" i="5"/>
  <c r="N35" i="6"/>
  <c r="K35" i="6"/>
  <c r="Q35" i="6"/>
  <c r="N76" i="6"/>
  <c r="K76" i="6"/>
  <c r="K106" i="6"/>
  <c r="Q106" i="6"/>
  <c r="P190" i="5"/>
  <c r="J190" i="5"/>
  <c r="P210" i="5"/>
  <c r="S210" i="5"/>
  <c r="Q6" i="6"/>
  <c r="N6" i="6"/>
  <c r="Q76" i="6"/>
  <c r="N98" i="6"/>
  <c r="K98" i="6"/>
  <c r="Q114" i="6"/>
  <c r="N114" i="6"/>
  <c r="K114" i="6"/>
  <c r="Q138" i="6"/>
  <c r="K147" i="6"/>
  <c r="Q189" i="6"/>
  <c r="K189" i="6"/>
  <c r="N189" i="6"/>
  <c r="Q210" i="6"/>
  <c r="P140" i="5"/>
  <c r="P164" i="5"/>
  <c r="S194" i="5"/>
  <c r="S218" i="5"/>
  <c r="N38" i="6"/>
  <c r="K38" i="6"/>
  <c r="Q45" i="6"/>
  <c r="N45" i="6"/>
  <c r="Q73" i="6"/>
  <c r="K91" i="6"/>
  <c r="Q91" i="6"/>
  <c r="N147" i="6"/>
  <c r="N164" i="6"/>
  <c r="N181" i="6"/>
  <c r="Q181" i="6"/>
  <c r="K190" i="6"/>
  <c r="K202" i="6"/>
  <c r="Q202" i="6"/>
  <c r="N202" i="6"/>
  <c r="N206" i="6"/>
  <c r="K206" i="6"/>
  <c r="Q215" i="6"/>
  <c r="Q220" i="6"/>
  <c r="Q225" i="6"/>
  <c r="K225" i="6"/>
  <c r="N225" i="6"/>
  <c r="N17" i="6"/>
  <c r="K17" i="6"/>
  <c r="N56" i="6"/>
  <c r="K99" i="6"/>
  <c r="Q99" i="6"/>
  <c r="N99" i="6"/>
  <c r="K111" i="6"/>
  <c r="N122" i="6"/>
  <c r="K122" i="6"/>
  <c r="Q122" i="6"/>
  <c r="K139" i="6"/>
  <c r="Q139" i="6"/>
  <c r="N143" i="6"/>
  <c r="Q147" i="6"/>
  <c r="N152" i="6"/>
  <c r="Q226" i="6"/>
  <c r="N230" i="6"/>
  <c r="K230" i="6"/>
  <c r="Q230" i="6"/>
  <c r="K46" i="6"/>
  <c r="N49" i="6"/>
  <c r="Q63" i="6"/>
  <c r="N63" i="6"/>
  <c r="Q66" i="6"/>
  <c r="K70" i="6"/>
  <c r="N92" i="6"/>
  <c r="K103" i="6"/>
  <c r="Q103" i="6"/>
  <c r="N107" i="6"/>
  <c r="K123" i="6"/>
  <c r="K135" i="6"/>
  <c r="Q135" i="6"/>
  <c r="N135" i="6"/>
  <c r="N139" i="6"/>
  <c r="N169" i="6"/>
  <c r="Q186" i="6"/>
  <c r="N194" i="6"/>
  <c r="K194" i="6"/>
  <c r="Q194" i="6"/>
  <c r="K127" i="6"/>
  <c r="Q127" i="6"/>
  <c r="Q148" i="6"/>
  <c r="Q165" i="6"/>
  <c r="K165" i="6"/>
  <c r="K178" i="6"/>
  <c r="K195" i="6"/>
  <c r="K207" i="6"/>
  <c r="Q207" i="6"/>
  <c r="N207" i="6"/>
  <c r="N25" i="6"/>
  <c r="Q46" i="6"/>
  <c r="Q49" i="6"/>
  <c r="N53" i="6"/>
  <c r="K53" i="6"/>
  <c r="Q70" i="6"/>
  <c r="Q123" i="6"/>
  <c r="N127" i="6"/>
  <c r="N140" i="6"/>
  <c r="Q140" i="6"/>
  <c r="N157" i="6"/>
  <c r="N165" i="6"/>
  <c r="N178" i="6"/>
  <c r="N186" i="6"/>
  <c r="K199" i="6"/>
  <c r="Q199" i="6"/>
  <c r="N212" i="6"/>
  <c r="Q212" i="6"/>
  <c r="N217" i="6"/>
  <c r="Q217" i="6"/>
  <c r="Q222" i="6"/>
  <c r="Q57" i="6"/>
  <c r="K57" i="6"/>
  <c r="K67" i="6"/>
  <c r="Q67" i="6"/>
  <c r="K82" i="6"/>
  <c r="N85" i="6"/>
  <c r="N104" i="6"/>
  <c r="Q104" i="6"/>
  <c r="N112" i="6"/>
  <c r="N116" i="6"/>
  <c r="N128" i="6"/>
  <c r="Q153" i="6"/>
  <c r="K153" i="6"/>
  <c r="N153" i="6"/>
  <c r="N170" i="6"/>
  <c r="K170" i="6"/>
  <c r="Q174" i="6"/>
  <c r="Q178" i="6"/>
  <c r="K183" i="6"/>
  <c r="M204" i="5"/>
  <c r="K32" i="6"/>
  <c r="N50" i="6"/>
  <c r="Q50" i="6"/>
  <c r="Q54" i="6"/>
  <c r="N57" i="6"/>
  <c r="N67" i="6"/>
  <c r="N71" i="6"/>
  <c r="K71" i="6"/>
  <c r="K75" i="6"/>
  <c r="N78" i="6"/>
  <c r="N82" i="6"/>
  <c r="K85" i="6"/>
  <c r="N89" i="6"/>
  <c r="Q93" i="6"/>
  <c r="K93" i="6"/>
  <c r="N97" i="6"/>
  <c r="K104" i="6"/>
  <c r="K116" i="6"/>
  <c r="N145" i="6"/>
  <c r="Q145" i="6"/>
  <c r="K154" i="6"/>
  <c r="Q157" i="6"/>
  <c r="Q162" i="6"/>
  <c r="K166" i="6"/>
  <c r="Q166" i="6"/>
  <c r="N166" i="6"/>
  <c r="Q170" i="6"/>
  <c r="N183" i="6"/>
  <c r="N200" i="6"/>
  <c r="K238" i="6"/>
  <c r="Q238" i="6"/>
  <c r="N238" i="6"/>
  <c r="J200" i="5"/>
  <c r="S204" i="5"/>
  <c r="J220" i="5"/>
  <c r="K19" i="6"/>
  <c r="N32" i="6"/>
  <c r="N40" i="6"/>
  <c r="K40" i="6"/>
  <c r="K50" i="6"/>
  <c r="K54" i="6"/>
  <c r="N61" i="6"/>
  <c r="Q71" i="6"/>
  <c r="N75" i="6"/>
  <c r="Q82" i="6"/>
  <c r="Q85" i="6"/>
  <c r="N93" i="6"/>
  <c r="Q105" i="6"/>
  <c r="K105" i="6"/>
  <c r="Q116" i="6"/>
  <c r="K175" i="6"/>
  <c r="Q175" i="6"/>
  <c r="Q183" i="6"/>
  <c r="N188" i="6"/>
  <c r="Q68" i="6"/>
  <c r="N109" i="6"/>
  <c r="Q109" i="6"/>
  <c r="Q129" i="6"/>
  <c r="K129" i="6"/>
  <c r="N133" i="6"/>
  <c r="Q150" i="6"/>
  <c r="N158" i="6"/>
  <c r="K158" i="6"/>
  <c r="Q158" i="6"/>
  <c r="K171" i="6"/>
  <c r="Q171" i="6"/>
  <c r="N171" i="6"/>
  <c r="K214" i="6"/>
  <c r="K219" i="6"/>
  <c r="S200" i="5"/>
  <c r="P220" i="5"/>
  <c r="Q9" i="6"/>
  <c r="N9" i="6"/>
  <c r="Q37" i="6"/>
  <c r="K68" i="6"/>
  <c r="N86" i="6"/>
  <c r="K86" i="6"/>
  <c r="Q86" i="6"/>
  <c r="K90" i="6"/>
  <c r="K94" i="6"/>
  <c r="Q94" i="6"/>
  <c r="N94" i="6"/>
  <c r="K109" i="6"/>
  <c r="Q117" i="6"/>
  <c r="K117" i="6"/>
  <c r="N117" i="6"/>
  <c r="N121" i="6"/>
  <c r="N129" i="6"/>
  <c r="K142" i="6"/>
  <c r="K150" i="6"/>
  <c r="K159" i="6"/>
  <c r="Q184" i="6"/>
  <c r="Q201" i="6"/>
  <c r="K201" i="6"/>
  <c r="N205" i="6"/>
  <c r="N214" i="6"/>
  <c r="N219" i="6"/>
  <c r="N224" i="6"/>
  <c r="K89" i="6"/>
  <c r="K107" i="6"/>
  <c r="K112" i="6"/>
  <c r="K125" i="6"/>
  <c r="K143" i="6"/>
  <c r="K148" i="6"/>
  <c r="K161" i="6"/>
  <c r="K179" i="6"/>
  <c r="K184" i="6"/>
  <c r="K197" i="6"/>
  <c r="K215" i="6"/>
  <c r="K220" i="6"/>
  <c r="K233" i="6"/>
  <c r="Q243" i="6"/>
  <c r="K7" i="6"/>
  <c r="K43" i="6"/>
  <c r="K79" i="6"/>
  <c r="K102" i="6"/>
  <c r="K115" i="6"/>
  <c r="K138" i="6"/>
  <c r="N148" i="6"/>
  <c r="K151" i="6"/>
  <c r="N161" i="6"/>
  <c r="K174" i="6"/>
  <c r="N179" i="6"/>
  <c r="N184" i="6"/>
  <c r="K187" i="6"/>
  <c r="N197" i="6"/>
  <c r="K210" i="6"/>
  <c r="N215" i="6"/>
  <c r="N220" i="6"/>
  <c r="K223" i="6"/>
  <c r="N233" i="6"/>
  <c r="Q141" i="6"/>
  <c r="N146" i="6"/>
  <c r="N182" i="6"/>
  <c r="N210" i="6"/>
  <c r="Q213" i="6"/>
  <c r="N218" i="6"/>
  <c r="Q7" i="6"/>
  <c r="Q43" i="6"/>
  <c r="Q79" i="6"/>
  <c r="Q115" i="6"/>
  <c r="K141" i="6"/>
  <c r="K146" i="6"/>
  <c r="Q151" i="6"/>
  <c r="K177" i="6"/>
  <c r="K182" i="6"/>
  <c r="Q187" i="6"/>
  <c r="K213" i="6"/>
  <c r="K218" i="6"/>
  <c r="Q223" i="6"/>
  <c r="K226" i="6"/>
  <c r="K231" i="6"/>
  <c r="K244" i="6"/>
  <c r="K211" i="6"/>
  <c r="K234" i="6"/>
  <c r="Q211" i="6"/>
  <c r="K237" i="6"/>
  <c r="K242" i="6"/>
  <c r="N237" i="6"/>
  <c r="Q235" i="6"/>
  <c r="H203" i="4" l="1"/>
  <c r="I203" i="4" s="1"/>
  <c r="J203" i="4" s="1"/>
  <c r="J166" i="4"/>
  <c r="H166" i="4"/>
  <c r="I166" i="4" s="1"/>
  <c r="H182" i="4"/>
  <c r="I182" i="4" s="1"/>
  <c r="J182" i="4" s="1"/>
  <c r="H212" i="4"/>
  <c r="I212" i="4" s="1"/>
  <c r="J212" i="4" s="1"/>
  <c r="J70" i="4"/>
  <c r="H70" i="4"/>
  <c r="I70" i="4" s="1"/>
  <c r="H171" i="4"/>
  <c r="I171" i="4" s="1"/>
  <c r="J171" i="4" s="1"/>
  <c r="H210" i="4"/>
  <c r="I210" i="4" s="1"/>
  <c r="J210" i="4" s="1"/>
  <c r="J71" i="4"/>
  <c r="H71" i="4"/>
  <c r="I71" i="4" s="1"/>
  <c r="H7" i="4"/>
  <c r="I7" i="4" s="1"/>
  <c r="J7" i="4" s="1"/>
  <c r="H186" i="4"/>
  <c r="I186" i="4" s="1"/>
  <c r="J186" i="4" s="1"/>
  <c r="J157" i="4"/>
  <c r="H157" i="4"/>
  <c r="I157" i="4" s="1"/>
  <c r="J181" i="4"/>
  <c r="H181" i="4"/>
  <c r="I181" i="4" s="1"/>
  <c r="J39" i="4"/>
  <c r="H25" i="4"/>
  <c r="I25" i="4" s="1"/>
  <c r="J25" i="4" s="1"/>
  <c r="H22" i="4"/>
  <c r="I22" i="4" s="1"/>
  <c r="J22" i="4" s="1"/>
  <c r="H37" i="4"/>
  <c r="I37" i="4" s="1"/>
  <c r="J37" i="4" s="1"/>
  <c r="D175" i="2"/>
  <c r="D169" i="2"/>
  <c r="D174" i="2"/>
  <c r="D168" i="2"/>
  <c r="D173" i="2"/>
  <c r="D172" i="2"/>
  <c r="D171" i="2"/>
  <c r="D170" i="2"/>
  <c r="D177" i="2"/>
  <c r="D176" i="2"/>
  <c r="H142" i="4"/>
  <c r="I142" i="4" s="1"/>
  <c r="J142" i="4" s="1"/>
  <c r="H124" i="4"/>
  <c r="I124" i="4" s="1"/>
  <c r="J124" i="4"/>
  <c r="H193" i="4"/>
  <c r="I193" i="4" s="1"/>
  <c r="J193" i="4"/>
  <c r="H169" i="4"/>
  <c r="I169" i="4" s="1"/>
  <c r="J169" i="4" s="1"/>
  <c r="H61" i="4"/>
  <c r="I61" i="4" s="1"/>
  <c r="J61" i="4"/>
  <c r="H187" i="4"/>
  <c r="I187" i="4" s="1"/>
  <c r="J187" i="4" s="1"/>
  <c r="H51" i="4"/>
  <c r="I51" i="4" s="1"/>
  <c r="J51" i="4" s="1"/>
  <c r="H42" i="4"/>
  <c r="I42" i="4" s="1"/>
  <c r="J42" i="4"/>
  <c r="H137" i="4"/>
  <c r="I137" i="4" s="1"/>
  <c r="J137" i="4"/>
  <c r="H213" i="4"/>
  <c r="I213" i="4" s="1"/>
  <c r="J213" i="4"/>
  <c r="H154" i="4"/>
  <c r="I154" i="4" s="1"/>
  <c r="J154" i="4" s="1"/>
  <c r="H123" i="4"/>
  <c r="I123" i="4" s="1"/>
  <c r="J123" i="4" s="1"/>
  <c r="H31" i="4"/>
  <c r="I31" i="4" s="1"/>
  <c r="J31" i="4" s="1"/>
  <c r="H201" i="4"/>
  <c r="I201" i="4" s="1"/>
  <c r="J201" i="4" s="1"/>
  <c r="D187" i="2"/>
  <c r="D181" i="2"/>
  <c r="D186" i="2"/>
  <c r="D180" i="2"/>
  <c r="D183" i="2"/>
  <c r="D182" i="2"/>
  <c r="D179" i="2"/>
  <c r="D188" i="2"/>
  <c r="D185" i="2"/>
  <c r="D184" i="2"/>
  <c r="H94" i="4"/>
  <c r="I94" i="4" s="1"/>
  <c r="J94" i="4"/>
  <c r="H180" i="4"/>
  <c r="I180" i="4" s="1"/>
  <c r="J180" i="4"/>
  <c r="H64" i="4"/>
  <c r="I64" i="4" s="1"/>
  <c r="J64" i="4" s="1"/>
  <c r="H145" i="4"/>
  <c r="I145" i="4" s="1"/>
  <c r="J145" i="4" s="1"/>
  <c r="H125" i="4"/>
  <c r="I125" i="4" s="1"/>
  <c r="J125" i="4" s="1"/>
  <c r="H143" i="4"/>
  <c r="I143" i="4" s="1"/>
  <c r="J143" i="4" s="1"/>
  <c r="H59" i="4"/>
  <c r="I59" i="4" s="1"/>
  <c r="J59" i="4" s="1"/>
  <c r="H140" i="4"/>
  <c r="I140" i="4" s="1"/>
  <c r="J140" i="4"/>
  <c r="H130" i="4"/>
  <c r="I130" i="4" s="1"/>
  <c r="J130" i="4" s="1"/>
  <c r="H144" i="4"/>
  <c r="I144" i="4" s="1"/>
  <c r="J144" i="4" s="1"/>
  <c r="H139" i="4"/>
  <c r="I139" i="4" s="1"/>
  <c r="J139" i="4" s="1"/>
  <c r="H205" i="4"/>
  <c r="I205" i="4" s="1"/>
  <c r="J205" i="4" s="1"/>
  <c r="H192" i="4"/>
  <c r="I192" i="4" s="1"/>
  <c r="J192" i="4" s="1"/>
  <c r="H52" i="4"/>
  <c r="I52" i="4" s="1"/>
  <c r="J52" i="4" s="1"/>
  <c r="H191" i="4"/>
  <c r="I191" i="4" s="1"/>
  <c r="J191" i="4"/>
  <c r="H211" i="4"/>
  <c r="I211" i="4" s="1"/>
  <c r="J211" i="4"/>
  <c r="D139" i="2"/>
  <c r="D144" i="2"/>
  <c r="D138" i="2"/>
  <c r="D137" i="2"/>
  <c r="D136" i="2"/>
  <c r="D135" i="2"/>
  <c r="D143" i="2"/>
  <c r="D142" i="2"/>
  <c r="D141" i="2"/>
  <c r="D140" i="2"/>
  <c r="H10" i="4"/>
  <c r="I10" i="4" s="1"/>
  <c r="J10" i="4"/>
  <c r="H173" i="4"/>
  <c r="I173" i="4" s="1"/>
  <c r="J173" i="4" s="1"/>
  <c r="H67" i="4"/>
  <c r="I67" i="4" s="1"/>
  <c r="J67" i="4" s="1"/>
  <c r="H165" i="4"/>
  <c r="I165" i="4" s="1"/>
  <c r="J165" i="4"/>
  <c r="H49" i="4"/>
  <c r="I49" i="4" s="1"/>
  <c r="J49" i="4"/>
  <c r="H32" i="4"/>
  <c r="I32" i="4" s="1"/>
  <c r="J32" i="4"/>
  <c r="H155" i="4"/>
  <c r="I155" i="4" s="1"/>
  <c r="J155" i="4" s="1"/>
  <c r="H208" i="4"/>
  <c r="I208" i="4" s="1"/>
  <c r="J208" i="4" s="1"/>
  <c r="H99" i="4"/>
  <c r="I99" i="4" s="1"/>
  <c r="J99" i="4" s="1"/>
  <c r="H83" i="4"/>
  <c r="I83" i="4" s="1"/>
  <c r="J83" i="4" s="1"/>
  <c r="H141" i="4"/>
  <c r="I141" i="4" s="1"/>
  <c r="J141" i="4"/>
  <c r="H11" i="4"/>
  <c r="I11" i="4" s="1"/>
  <c r="J11" i="4" s="1"/>
  <c r="H85" i="4"/>
  <c r="I85" i="4" s="1"/>
  <c r="J85" i="4" s="1"/>
  <c r="H100" i="4"/>
  <c r="I100" i="4" s="1"/>
  <c r="J100" i="4" s="1"/>
  <c r="D163" i="2"/>
  <c r="D157" i="2"/>
  <c r="D162" i="2"/>
  <c r="D165" i="2"/>
  <c r="D164" i="2"/>
  <c r="D161" i="2"/>
  <c r="D160" i="2"/>
  <c r="D159" i="2"/>
  <c r="D166" i="2"/>
  <c r="D158" i="2"/>
  <c r="D133" i="2"/>
  <c r="D127" i="2"/>
  <c r="D132" i="2"/>
  <c r="D126" i="2"/>
  <c r="D129" i="2"/>
  <c r="D128" i="2"/>
  <c r="D125" i="2"/>
  <c r="D124" i="2"/>
  <c r="D131" i="2"/>
  <c r="D130" i="2"/>
  <c r="J132" i="4"/>
  <c r="H132" i="4"/>
  <c r="I132" i="4" s="1"/>
  <c r="H128" i="4"/>
  <c r="I128" i="4" s="1"/>
  <c r="J128" i="4" s="1"/>
  <c r="H163" i="4"/>
  <c r="I163" i="4" s="1"/>
  <c r="J163" i="4" s="1"/>
  <c r="H183" i="4"/>
  <c r="I183" i="4" s="1"/>
  <c r="J183" i="4" s="1"/>
  <c r="H19" i="4"/>
  <c r="I19" i="4" s="1"/>
  <c r="J19" i="4" s="1"/>
  <c r="H92" i="4"/>
  <c r="I92" i="4" s="1"/>
  <c r="J92" i="4" s="1"/>
  <c r="H87" i="4"/>
  <c r="I87" i="4" s="1"/>
  <c r="J87" i="4" s="1"/>
  <c r="H69" i="4"/>
  <c r="I69" i="4" s="1"/>
  <c r="J69" i="4" s="1"/>
  <c r="J8" i="4"/>
  <c r="H8" i="4"/>
  <c r="I8" i="4" s="1"/>
  <c r="H179" i="4"/>
  <c r="I179" i="4" s="1"/>
  <c r="J179" i="4"/>
  <c r="H89" i="4"/>
  <c r="I89" i="4" s="1"/>
  <c r="J89" i="4" s="1"/>
  <c r="H138" i="4"/>
  <c r="I138" i="4" s="1"/>
  <c r="J138" i="4"/>
  <c r="H152" i="4"/>
  <c r="I152" i="4" s="1"/>
  <c r="J152" i="4" s="1"/>
  <c r="H199" i="4"/>
  <c r="I199" i="4" s="1"/>
  <c r="J199" i="4" s="1"/>
  <c r="H122" i="4"/>
  <c r="I122" i="4" s="1"/>
  <c r="J122" i="4" s="1"/>
  <c r="H126" i="4"/>
  <c r="I126" i="4" s="1"/>
  <c r="J126" i="4" s="1"/>
  <c r="H88" i="4"/>
  <c r="I88" i="4" s="1"/>
  <c r="J88" i="4" s="1"/>
  <c r="H82" i="4"/>
  <c r="I82" i="4" s="1"/>
  <c r="J82" i="4" s="1"/>
  <c r="H198" i="4"/>
  <c r="I198" i="4" s="1"/>
  <c r="J198" i="4" s="1"/>
  <c r="H101" i="4"/>
  <c r="I101" i="4" s="1"/>
  <c r="J101" i="4" s="1"/>
  <c r="H36" i="4"/>
  <c r="I36" i="4" s="1"/>
  <c r="J36" i="4" s="1"/>
  <c r="H62" i="4"/>
  <c r="I62" i="4" s="1"/>
  <c r="J62" i="4" s="1"/>
  <c r="D193" i="2"/>
  <c r="D192" i="2"/>
  <c r="D191" i="2"/>
  <c r="D190" i="2"/>
  <c r="D195" i="2"/>
  <c r="D194" i="2"/>
  <c r="J76" i="4"/>
  <c r="H76" i="4"/>
  <c r="I76" i="4" s="1"/>
  <c r="H133" i="4"/>
  <c r="I133" i="4" s="1"/>
  <c r="J133" i="4" s="1"/>
  <c r="H161" i="4"/>
  <c r="I161" i="4" s="1"/>
  <c r="J161" i="4" s="1"/>
  <c r="J57" i="4"/>
  <c r="H57" i="4"/>
  <c r="I57" i="4" s="1"/>
  <c r="J151" i="4"/>
  <c r="H151" i="4"/>
  <c r="I151" i="4" s="1"/>
  <c r="D109" i="2"/>
  <c r="D103" i="2"/>
  <c r="D108" i="2"/>
  <c r="D102" i="2"/>
  <c r="D104" i="2"/>
  <c r="D111" i="2"/>
  <c r="D110" i="2"/>
  <c r="D107" i="2"/>
  <c r="D106" i="2"/>
  <c r="D105" i="2"/>
  <c r="J129" i="4"/>
  <c r="H129" i="4"/>
  <c r="I129" i="4" s="1"/>
  <c r="J104" i="4"/>
  <c r="H104" i="4"/>
  <c r="I104" i="4" s="1"/>
  <c r="H80" i="4"/>
  <c r="I80" i="4" s="1"/>
  <c r="J80" i="4" s="1"/>
  <c r="H63" i="4"/>
  <c r="I63" i="4" s="1"/>
  <c r="J63" i="4" s="1"/>
  <c r="H134" i="4"/>
  <c r="I134" i="4" s="1"/>
  <c r="J134" i="4" s="1"/>
  <c r="J200" i="4"/>
  <c r="H200" i="4"/>
  <c r="I200" i="4" s="1"/>
  <c r="J156" i="4"/>
  <c r="H156" i="4"/>
  <c r="I156" i="4" s="1"/>
  <c r="J50" i="4"/>
  <c r="H50" i="4"/>
  <c r="I50" i="4" s="1"/>
  <c r="H74" i="4"/>
  <c r="I74" i="4" s="1"/>
  <c r="J74" i="4" s="1"/>
  <c r="P38" i="5"/>
  <c r="J146" i="4"/>
  <c r="H146" i="4"/>
  <c r="I146" i="4" s="1"/>
  <c r="H167" i="4"/>
  <c r="I167" i="4" s="1"/>
  <c r="J167" i="4"/>
  <c r="H75" i="4"/>
  <c r="I75" i="4" s="1"/>
  <c r="J75" i="4" s="1"/>
  <c r="H175" i="4"/>
  <c r="I175" i="4" s="1"/>
  <c r="J175" i="4" s="1"/>
  <c r="H196" i="4"/>
  <c r="I196" i="4" s="1"/>
  <c r="J196" i="4" s="1"/>
  <c r="H43" i="4"/>
  <c r="I43" i="4" s="1"/>
  <c r="J43" i="4" s="1"/>
  <c r="H162" i="4"/>
  <c r="I162" i="4" s="1"/>
  <c r="J162" i="4" s="1"/>
  <c r="H147" i="4"/>
  <c r="I147" i="4" s="1"/>
  <c r="J147" i="4" s="1"/>
  <c r="H98" i="4"/>
  <c r="I98" i="4" s="1"/>
  <c r="J98" i="4" s="1"/>
  <c r="H209" i="4"/>
  <c r="I209" i="4" s="1"/>
  <c r="J209" i="4"/>
  <c r="H164" i="4"/>
  <c r="I164" i="4" s="1"/>
  <c r="J164" i="4"/>
  <c r="H23" i="4"/>
  <c r="I23" i="4" s="1"/>
  <c r="J23" i="4" s="1"/>
  <c r="H86" i="4"/>
  <c r="I86" i="4" s="1"/>
  <c r="J86" i="4" s="1"/>
  <c r="H168" i="4"/>
  <c r="I168" i="4" s="1"/>
  <c r="J168" i="4"/>
  <c r="H35" i="4"/>
  <c r="I35" i="4" s="1"/>
  <c r="J35" i="4"/>
  <c r="H47" i="4"/>
  <c r="I47" i="4" s="1"/>
  <c r="J47" i="4" s="1"/>
  <c r="J56" i="4"/>
  <c r="H148" i="4"/>
  <c r="I148" i="4" s="1"/>
  <c r="J148" i="4" s="1"/>
  <c r="D121" i="2"/>
  <c r="D115" i="2"/>
  <c r="D120" i="2"/>
  <c r="D114" i="2"/>
  <c r="D119" i="2"/>
  <c r="D118" i="2"/>
  <c r="D117" i="2"/>
  <c r="D116" i="2"/>
  <c r="D113" i="2"/>
  <c r="D122" i="2"/>
  <c r="H204" i="4"/>
  <c r="I204" i="4" s="1"/>
  <c r="J204" i="4" s="1"/>
  <c r="H172" i="4"/>
  <c r="I172" i="4" s="1"/>
  <c r="J172" i="4" s="1"/>
  <c r="H97" i="4"/>
  <c r="I97" i="4" s="1"/>
  <c r="J97" i="4" s="1"/>
  <c r="J197" i="4"/>
  <c r="H197" i="4"/>
  <c r="I197" i="4" s="1"/>
  <c r="J174" i="4"/>
  <c r="H174" i="4"/>
  <c r="I174" i="4" s="1"/>
  <c r="H68" i="4"/>
  <c r="I68" i="4" s="1"/>
  <c r="J68" i="4" s="1"/>
  <c r="H185" i="4"/>
  <c r="I185" i="4" s="1"/>
  <c r="J185" i="4" s="1"/>
  <c r="H194" i="4"/>
  <c r="I194" i="4" s="1"/>
  <c r="J194" i="4" s="1"/>
  <c r="J202" i="4"/>
  <c r="H202" i="4"/>
  <c r="I202" i="4" s="1"/>
  <c r="H55" i="4"/>
  <c r="I55" i="4" s="1"/>
  <c r="J55" i="4" s="1"/>
  <c r="H72" i="4"/>
  <c r="I72" i="4" s="1"/>
  <c r="J72" i="4" s="1"/>
  <c r="H207" i="4"/>
  <c r="I207" i="4" s="1"/>
  <c r="J207" i="4"/>
  <c r="H24" i="4"/>
  <c r="I24" i="4" s="1"/>
  <c r="J24" i="4" s="1"/>
  <c r="J149" i="4"/>
  <c r="H149" i="4"/>
  <c r="I149" i="4" s="1"/>
  <c r="H121" i="4"/>
  <c r="I121" i="4" s="1"/>
  <c r="J121" i="4" s="1"/>
  <c r="H95" i="4"/>
  <c r="I95" i="4" s="1"/>
  <c r="J95" i="4"/>
  <c r="H177" i="4"/>
  <c r="I177" i="4" s="1"/>
  <c r="J177" i="4" s="1"/>
  <c r="H12" i="4"/>
  <c r="I12" i="4" s="1"/>
  <c r="J12" i="4"/>
  <c r="H176" i="4"/>
  <c r="I176" i="4" s="1"/>
  <c r="J176" i="4" s="1"/>
  <c r="H33" i="4"/>
  <c r="I33" i="4" s="1"/>
  <c r="J33" i="4" s="1"/>
  <c r="H153" i="4"/>
  <c r="I153" i="4" s="1"/>
  <c r="J153" i="4"/>
  <c r="H60" i="4"/>
  <c r="I60" i="4" s="1"/>
  <c r="J60" i="4" s="1"/>
  <c r="J20" i="4"/>
  <c r="H20" i="4"/>
  <c r="I20" i="4" s="1"/>
  <c r="J135" i="4"/>
  <c r="H135" i="4"/>
  <c r="I135" i="4" s="1"/>
  <c r="H127" i="4"/>
  <c r="I127" i="4" s="1"/>
  <c r="J127" i="4" s="1"/>
  <c r="H195" i="4"/>
  <c r="I195" i="4" s="1"/>
  <c r="J195" i="4"/>
  <c r="H184" i="4"/>
  <c r="I184" i="4" s="1"/>
  <c r="J184" i="4" s="1"/>
  <c r="H131" i="4"/>
  <c r="I131" i="4" s="1"/>
  <c r="J131" i="4" s="1"/>
  <c r="H73" i="4"/>
  <c r="I73" i="4" s="1"/>
  <c r="J73" i="4" s="1"/>
  <c r="H170" i="4"/>
  <c r="I170" i="4" s="1"/>
  <c r="J170" i="4" s="1"/>
  <c r="H159" i="4"/>
  <c r="I159" i="4" s="1"/>
  <c r="J159" i="4" s="1"/>
  <c r="H158" i="4"/>
  <c r="I158" i="4" s="1"/>
  <c r="J158" i="4" s="1"/>
  <c r="H9" i="4"/>
  <c r="I9" i="4" s="1"/>
  <c r="J9" i="4"/>
  <c r="H48" i="4"/>
  <c r="I48" i="4" s="1"/>
  <c r="J48" i="4" s="1"/>
  <c r="D151" i="2"/>
  <c r="D150" i="2"/>
  <c r="D147" i="2"/>
  <c r="D155" i="2"/>
  <c r="D154" i="2"/>
  <c r="D146" i="2"/>
  <c r="D153" i="2"/>
  <c r="D152" i="2"/>
  <c r="D149" i="2"/>
  <c r="D148" i="2"/>
  <c r="H18" i="4"/>
  <c r="I18" i="4" s="1"/>
  <c r="J18" i="4" s="1"/>
  <c r="J15" i="4"/>
  <c r="H15" i="4"/>
  <c r="I15" i="4" s="1"/>
  <c r="J46" i="4"/>
  <c r="H46" i="4"/>
  <c r="I46" i="4" s="1"/>
  <c r="H150" i="4"/>
  <c r="I150" i="4" s="1"/>
  <c r="J150" i="4"/>
  <c r="H136" i="4"/>
  <c r="I136" i="4" s="1"/>
  <c r="J136" i="4" s="1"/>
  <c r="H120" i="4"/>
  <c r="I120" i="4" s="1"/>
  <c r="J120" i="4"/>
</calcChain>
</file>

<file path=xl/sharedStrings.xml><?xml version="1.0" encoding="utf-8"?>
<sst xmlns="http://schemas.openxmlformats.org/spreadsheetml/2006/main" count="4032" uniqueCount="1475">
  <si>
    <t>DATA DICTIONARY - PROCESS MASTER DATA</t>
  </si>
  <si>
    <t>1. SHEET RELATIONSHIPS</t>
  </si>
  <si>
    <t>Sheet Name</t>
  </si>
  <si>
    <t>Type</t>
  </si>
  <si>
    <t>Description</t>
  </si>
  <si>
    <t>INPUT_DATA</t>
  </si>
  <si>
    <t>Master sheet</t>
  </si>
  <si>
    <t>Contains all stream process data (flow, pressure, temp, etc.)</t>
  </si>
  <si>
    <t>LIST_OF_EQUIPMENT</t>
  </si>
  <si>
    <t>Dependent</t>
  </si>
  <si>
    <t>References INPUT_DATA for operating conditions and fluid connections</t>
  </si>
  <si>
    <t>LIST OF LINES</t>
  </si>
  <si>
    <t>References INPUT_DATA for sizing; Uses Pipe Table for selection</t>
  </si>
  <si>
    <t>LIST OF INSTRUMENTS</t>
  </si>
  <si>
    <t>References LIST OF LINES and INPUT_DATA for process conditions</t>
  </si>
  <si>
    <t>LIST OF VALVES</t>
  </si>
  <si>
    <t>Pipe Table</t>
  </si>
  <si>
    <t>Reference</t>
  </si>
  <si>
    <t>Static lookup table for Schedule 40 pipe dimensions</t>
  </si>
  <si>
    <t>2. NAMED RANGES</t>
  </si>
  <si>
    <t>Named Range</t>
  </si>
  <si>
    <t>Sheet</t>
  </si>
  <si>
    <t>Range</t>
  </si>
  <si>
    <t>StreamData</t>
  </si>
  <si>
    <t>$A$4:$J$195</t>
  </si>
  <si>
    <t>All stream process data</t>
  </si>
  <si>
    <t>LineTags</t>
  </si>
  <si>
    <t>$A$4:$A$195</t>
  </si>
  <si>
    <t>Line tag identifiers (primary key)</t>
  </si>
  <si>
    <t>FlowRates_kgs</t>
  </si>
  <si>
    <t>$C$4:$C$195</t>
  </si>
  <si>
    <t>Flow rates in kg/s</t>
  </si>
  <si>
    <t>FlowRates_kghr</t>
  </si>
  <si>
    <t>$D$4:$D$195</t>
  </si>
  <si>
    <t>Flow rates in kg/hr</t>
  </si>
  <si>
    <t>Pressures_mbar</t>
  </si>
  <si>
    <t>$E$4:$E$195</t>
  </si>
  <si>
    <t>Pressures in mbar (absolute)</t>
  </si>
  <si>
    <t>Pressures_bar</t>
  </si>
  <si>
    <t>$F$4:$F$195</t>
  </si>
  <si>
    <t>Pressures in bar (absolute)</t>
  </si>
  <si>
    <t>Temperatures</t>
  </si>
  <si>
    <t>$G$4:$G$195</t>
  </si>
  <si>
    <t>Temperatures in °C</t>
  </si>
  <si>
    <t>Densities</t>
  </si>
  <si>
    <t>$H$4:$H$195</t>
  </si>
  <si>
    <t>Densities in kg/m³</t>
  </si>
  <si>
    <t>TDS_Values</t>
  </si>
  <si>
    <t>$I$4:$I$195</t>
  </si>
  <si>
    <t>Total Dissolved Solids in ppm</t>
  </si>
  <si>
    <t>Enthalpies</t>
  </si>
  <si>
    <t>$J$4:$J$195</t>
  </si>
  <si>
    <t>Enthalpy in kJ/kg</t>
  </si>
  <si>
    <t>PipeReference</t>
  </si>
  <si>
    <t>$A$2:$E$19</t>
  </si>
  <si>
    <t>Pipe sizing lookup table</t>
  </si>
  <si>
    <t>PipeIDs</t>
  </si>
  <si>
    <t>$A$2:$B$19</t>
  </si>
  <si>
    <t>Pipe inner diameter ranges</t>
  </si>
  <si>
    <t>EquipmentTags</t>
  </si>
  <si>
    <t>$B$3:$B$31</t>
  </si>
  <si>
    <t>Equipment tag numbers</t>
  </si>
  <si>
    <t>LineNumbers</t>
  </si>
  <si>
    <t>$B$4:$B$214</t>
  </si>
  <si>
    <t>Line numbers for validation</t>
  </si>
  <si>
    <t>3. FLUID CATEGORIES</t>
  </si>
  <si>
    <t>Category</t>
  </si>
  <si>
    <t>Tag Range</t>
  </si>
  <si>
    <t>SEA WATER</t>
  </si>
  <si>
    <t>SW1 - SW17</t>
  </si>
  <si>
    <t>Incoming seawater streams</t>
  </si>
  <si>
    <t>BRINE WATER</t>
  </si>
  <si>
    <t>B1 - B23</t>
  </si>
  <si>
    <t>Concentrated brine streams</t>
  </si>
  <si>
    <t>DISTILLATE WATER</t>
  </si>
  <si>
    <t>D1 - D25</t>
  </si>
  <si>
    <t>Product distillate streams</t>
  </si>
  <si>
    <t>STEAM</t>
  </si>
  <si>
    <t>ST1 - ST16</t>
  </si>
  <si>
    <t>Steam and vapor streams</t>
  </si>
  <si>
    <t>NCG</t>
  </si>
  <si>
    <t>NCG1 - NCG12</t>
  </si>
  <si>
    <t>Non-condensable gas streams</t>
  </si>
  <si>
    <t>FEED WATER</t>
  </si>
  <si>
    <t>FW1 - FW95</t>
  </si>
  <si>
    <t>Feed water streams to effects</t>
  </si>
  <si>
    <t>4. FORMULA PATTERNS (for reference)</t>
  </si>
  <si>
    <t>Purpose</t>
  </si>
  <si>
    <t>Formula Pattern</t>
  </si>
  <si>
    <t>Notes</t>
  </si>
  <si>
    <t>Lookup Pressure</t>
  </si>
  <si>
    <t>Get pressure by line tag</t>
  </si>
  <si>
    <t>Lookup Flow</t>
  </si>
  <si>
    <t>Get flow rate by line tag</t>
  </si>
  <si>
    <t>Lookup Temperature</t>
  </si>
  <si>
    <t>Get temperature by line tag</t>
  </si>
  <si>
    <t>Lookup Density</t>
  </si>
  <si>
    <t>Get density by line tag</t>
  </si>
  <si>
    <t>Pipe Size Selection</t>
  </si>
  <si>
    <t>Select pipe from calculated ID</t>
  </si>
  <si>
    <t>5. DATA VALIDATION RULES</t>
  </si>
  <si>
    <t>Field</t>
  </si>
  <si>
    <t>Validation Type</t>
  </si>
  <si>
    <t>Column D (Input Data)</t>
  </si>
  <si>
    <t>Dropdown from LineTags</t>
  </si>
  <si>
    <t>Column C (Line No.)</t>
  </si>
  <si>
    <t>Dropdown from LineNumbers</t>
  </si>
  <si>
    <t>Column H (Fluid)</t>
  </si>
  <si>
    <t>Dropdown from fluid categories</t>
  </si>
  <si>
    <t>Column C (Line Number)</t>
  </si>
  <si>
    <t>Column I (Fluid)</t>
  </si>
  <si>
    <t>Columns E-M (Fluids)</t>
  </si>
  <si>
    <t>6. LOOKUP CHAIN FOR INSTRUMENTS</t>
  </si>
  <si>
    <t>LIST OF INSTRUMENTS.Line No (Col C)</t>
  </si>
  <si>
    <t>→ LIST OF LINES.Line No (Col B) → Line Tag (Col D)</t>
  </si>
  <si>
    <t>→ INPUT_DATA.Line Tag (Col A) → Values</t>
  </si>
  <si>
    <t>Line Tag</t>
  </si>
  <si>
    <t>Flow Rate</t>
  </si>
  <si>
    <t>Pressure</t>
  </si>
  <si>
    <t>Temperature</t>
  </si>
  <si>
    <t>Density</t>
  </si>
  <si>
    <t>TDS</t>
  </si>
  <si>
    <t>Enthalpy 
(Ref: Pure Water, 0 C, 1 atm)</t>
  </si>
  <si>
    <t>NOTE: This sheet is the Master Data source</t>
  </si>
  <si>
    <t>Unit</t>
  </si>
  <si>
    <t>kg/s</t>
  </si>
  <si>
    <t>kg/hr</t>
  </si>
  <si>
    <t>mbar (a)</t>
  </si>
  <si>
    <t>bar a</t>
  </si>
  <si>
    <t>°C</t>
  </si>
  <si>
    <t>kg/m³</t>
  </si>
  <si>
    <t>ppm</t>
  </si>
  <si>
    <t>kJ/kg</t>
  </si>
  <si>
    <t>Named ranges defined: LineTags, FlowRates_kgs, Pressures_bar, etc.</t>
  </si>
  <si>
    <t xml:space="preserve">SEA WATER </t>
  </si>
  <si>
    <t>See DATA_DICTIONARY sheet for full documentation</t>
  </si>
  <si>
    <t>SW1</t>
  </si>
  <si>
    <t>SW2</t>
  </si>
  <si>
    <t>SW3</t>
  </si>
  <si>
    <t>SW4</t>
  </si>
  <si>
    <t>SW5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</si>
  <si>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</si>
  <si>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</si>
  <si>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</si>
  <si>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</si>
  <si>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</si>
  <si>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</si>
  <si>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</si>
  <si>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</si>
  <si>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</si>
  <si>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</si>
  <si>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</si>
  <si>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</si>
  <si>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B1</t>
  </si>
  <si>
    <t>Siphon 1</t>
  </si>
  <si>
    <t>B2</t>
  </si>
  <si>
    <t>Siphon 2</t>
  </si>
  <si>
    <t>B3</t>
  </si>
  <si>
    <t>Siphon 3</t>
  </si>
  <si>
    <t>B4</t>
  </si>
  <si>
    <t>Siphon 4</t>
  </si>
  <si>
    <t>B5</t>
  </si>
  <si>
    <t>Siphon 5</t>
  </si>
  <si>
    <t>B6</t>
  </si>
  <si>
    <t>Siphon 6</t>
  </si>
  <si>
    <t>B7</t>
  </si>
  <si>
    <t>Siphon 7</t>
  </si>
  <si>
    <t>B8</t>
  </si>
  <si>
    <t>Siphon 8</t>
  </si>
  <si>
    <t>B9</t>
  </si>
  <si>
    <t>To brine tank</t>
  </si>
  <si>
    <t>B10</t>
  </si>
  <si>
    <t>Brine tank to Brine pump skid</t>
  </si>
  <si>
    <t>B11</t>
  </si>
  <si>
    <t>HOLD</t>
  </si>
  <si>
    <t>B12</t>
  </si>
  <si>
    <t>B13</t>
  </si>
  <si>
    <t>B14</t>
  </si>
  <si>
    <t>B15</t>
  </si>
  <si>
    <t>EFF-1</t>
  </si>
  <si>
    <t>B16</t>
  </si>
  <si>
    <t>EFF-2</t>
  </si>
  <si>
    <t>B17</t>
  </si>
  <si>
    <t>EFF-3</t>
  </si>
  <si>
    <t>B18</t>
  </si>
  <si>
    <t>EFF-4</t>
  </si>
  <si>
    <t>B19</t>
  </si>
  <si>
    <t>EFF-5</t>
  </si>
  <si>
    <t>B20</t>
  </si>
  <si>
    <t>EFF-6</t>
  </si>
  <si>
    <t>B21</t>
  </si>
  <si>
    <t>EFF-7</t>
  </si>
  <si>
    <t>B22</t>
  </si>
  <si>
    <t>EFF-8</t>
  </si>
  <si>
    <t>B23</t>
  </si>
  <si>
    <t>EFF-9</t>
  </si>
  <si>
    <t>D1</t>
  </si>
  <si>
    <t>NIL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</si>
  <si>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</si>
  <si>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</si>
  <si>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</si>
  <si>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</si>
  <si>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</si>
  <si>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</si>
  <si>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</si>
  <si>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</si>
  <si>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</si>
  <si>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</si>
  <si>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</si>
  <si>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</si>
  <si>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INITIAL FILL UP IN</t>
  </si>
  <si>
    <t>D14</t>
  </si>
  <si>
    <t>MAKE UP</t>
  </si>
  <si>
    <t>D15</t>
  </si>
  <si>
    <t>INITIAL FILL UP OUT</t>
  </si>
  <si>
    <t>D16</t>
  </si>
  <si>
    <t>D17</t>
  </si>
  <si>
    <t>D18</t>
  </si>
  <si>
    <t>DS-SUPER HEATER</t>
  </si>
  <si>
    <t>D19</t>
  </si>
  <si>
    <t>D20</t>
  </si>
  <si>
    <t>D21</t>
  </si>
  <si>
    <t>D22</t>
  </si>
  <si>
    <t>D23</t>
  </si>
  <si>
    <t>D24</t>
  </si>
  <si>
    <t>D25</t>
  </si>
  <si>
    <t>FC - Distillate Outlet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</si>
  <si>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</si>
  <si>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</si>
  <si>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</si>
  <si>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</si>
  <si>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</si>
  <si>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</si>
  <si>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</si>
  <si>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</si>
  <si>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</si>
  <si>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</si>
  <si>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MVC-1 OUTLET</t>
  </si>
  <si>
    <t>S11</t>
  </si>
  <si>
    <t>MVC-2 OUTLET</t>
  </si>
  <si>
    <t>S12</t>
  </si>
  <si>
    <t>MVC-3 OUTLET</t>
  </si>
  <si>
    <t>S13</t>
  </si>
  <si>
    <t xml:space="preserve">S10 ADDED IN S9 </t>
  </si>
  <si>
    <t>S14</t>
  </si>
  <si>
    <t>SM</t>
  </si>
  <si>
    <t>HTFV + MVC-3 OUTLET</t>
  </si>
  <si>
    <t>NON CONDENSABLE GAS</t>
  </si>
  <si>
    <t>NCG1</t>
  </si>
  <si>
    <t>NCG2</t>
  </si>
  <si>
    <t>NCG3</t>
  </si>
  <si>
    <t>NCG4</t>
  </si>
  <si>
    <t>NCG5</t>
  </si>
  <si>
    <t>NCG6</t>
  </si>
  <si>
    <t>NCG7</t>
  </si>
  <si>
    <t>NCG8</t>
  </si>
  <si>
    <t>NCG9</t>
  </si>
  <si>
    <t>NCG10</t>
  </si>
  <si>
    <t>NCG11</t>
  </si>
  <si>
    <t>LRVP INLET</t>
  </si>
  <si>
    <t>NCG12</t>
  </si>
  <si>
    <t>LRVP OUTLET</t>
  </si>
  <si>
    <t>F1</t>
  </si>
  <si>
    <t>F1.1</t>
  </si>
  <si>
    <t>F1.2</t>
  </si>
  <si>
    <t>F1.3</t>
  </si>
  <si>
    <t>F1.4</t>
  </si>
  <si>
    <t>F1.5</t>
  </si>
  <si>
    <t>F1.6</t>
  </si>
  <si>
    <t>F1.7</t>
  </si>
  <si>
    <t>F1.8</t>
  </si>
  <si>
    <t>F1.9</t>
  </si>
  <si>
    <t>F1.10</t>
  </si>
  <si>
    <t>F2</t>
  </si>
  <si>
    <t>F2.1</t>
  </si>
  <si>
    <t>F2.2</t>
  </si>
  <si>
    <t>F2.3</t>
  </si>
  <si>
    <t>F2.4</t>
  </si>
  <si>
    <t>F2.5</t>
  </si>
  <si>
    <t>F2.6</t>
  </si>
  <si>
    <t>F2.7</t>
  </si>
  <si>
    <t>F2.8</t>
  </si>
  <si>
    <t>F2.9</t>
  </si>
  <si>
    <t>F2.10</t>
  </si>
  <si>
    <t>F3</t>
  </si>
  <si>
    <t>F3.1</t>
  </si>
  <si>
    <t>F3.2</t>
  </si>
  <si>
    <t>F3.3</t>
  </si>
  <si>
    <t>F3.4</t>
  </si>
  <si>
    <t>F3.5</t>
  </si>
  <si>
    <t>F3.6</t>
  </si>
  <si>
    <t>F3.7</t>
  </si>
  <si>
    <t>F3.8</t>
  </si>
  <si>
    <t>F3.9</t>
  </si>
  <si>
    <t>F3.10</t>
  </si>
  <si>
    <t>F4</t>
  </si>
  <si>
    <t>F4.1</t>
  </si>
  <si>
    <t>F4.2</t>
  </si>
  <si>
    <t>F4.3</t>
  </si>
  <si>
    <t>F4.4</t>
  </si>
  <si>
    <t>F4.5</t>
  </si>
  <si>
    <t>F4.6</t>
  </si>
  <si>
    <t>F4.7</t>
  </si>
  <si>
    <t>F4.8</t>
  </si>
  <si>
    <t>F4.9</t>
  </si>
  <si>
    <t>F4.10</t>
  </si>
  <si>
    <t>F5</t>
  </si>
  <si>
    <t>F5.1</t>
  </si>
  <si>
    <t>F5.2</t>
  </si>
  <si>
    <t>F5.3</t>
  </si>
  <si>
    <t>F5.4</t>
  </si>
  <si>
    <t>F5.5</t>
  </si>
  <si>
    <t>F5.6</t>
  </si>
  <si>
    <t>F5.7</t>
  </si>
  <si>
    <t>F5.8</t>
  </si>
  <si>
    <t>F5.9</t>
  </si>
  <si>
    <t>F5.10</t>
  </si>
  <si>
    <t>F6</t>
  </si>
  <si>
    <t>F6.1</t>
  </si>
  <si>
    <t>F6.2</t>
  </si>
  <si>
    <t>F6.3</t>
  </si>
  <si>
    <t>F6.4</t>
  </si>
  <si>
    <t>F6.5</t>
  </si>
  <si>
    <t>F6.6</t>
  </si>
  <si>
    <t>F6.7</t>
  </si>
  <si>
    <t>F6.8</t>
  </si>
  <si>
    <t>F6.9</t>
  </si>
  <si>
    <t>F6.10</t>
  </si>
  <si>
    <t>F7</t>
  </si>
  <si>
    <t>F7.1</t>
  </si>
  <si>
    <t>F7.2</t>
  </si>
  <si>
    <t>F7.3</t>
  </si>
  <si>
    <t>F7.4</t>
  </si>
  <si>
    <t>F7.5</t>
  </si>
  <si>
    <t>F7.6</t>
  </si>
  <si>
    <t>F7.7</t>
  </si>
  <si>
    <t>F7.8</t>
  </si>
  <si>
    <t>F7.9</t>
  </si>
  <si>
    <t>F7.10</t>
  </si>
  <si>
    <t>F8</t>
  </si>
  <si>
    <t>F8.1</t>
  </si>
  <si>
    <t>F8.2</t>
  </si>
  <si>
    <t>F8.3</t>
  </si>
  <si>
    <t>F8.4</t>
  </si>
  <si>
    <t>F8.5</t>
  </si>
  <si>
    <t>F8.6</t>
  </si>
  <si>
    <t>F8.7</t>
  </si>
  <si>
    <t>F8.8</t>
  </si>
  <si>
    <t>F8.9</t>
  </si>
  <si>
    <t>F8.10</t>
  </si>
  <si>
    <t>F9</t>
  </si>
  <si>
    <t>F9.1</t>
  </si>
  <si>
    <t>F9.2</t>
  </si>
  <si>
    <t>F9.3</t>
  </si>
  <si>
    <t>F9.4</t>
  </si>
  <si>
    <t>F9.5</t>
  </si>
  <si>
    <t>F9.6</t>
  </si>
  <si>
    <t>Equipment Name</t>
  </si>
  <si>
    <t>Equipment Tag No.</t>
  </si>
  <si>
    <t>Operating Pressure</t>
  </si>
  <si>
    <t>Operating Temperature</t>
  </si>
  <si>
    <t>Fluid_In_1</t>
  </si>
  <si>
    <t>Fluid_In_2</t>
  </si>
  <si>
    <t>Fluid_In_3</t>
  </si>
  <si>
    <t>Fluid_In_4</t>
  </si>
  <si>
    <t>Fluid_In_5</t>
  </si>
  <si>
    <t>Fluid_Out_1</t>
  </si>
  <si>
    <t>Fluid_Out_2</t>
  </si>
  <si>
    <t>Fluid_Out_3</t>
  </si>
  <si>
    <t>Fluid_Out_4</t>
  </si>
  <si>
    <t>Units</t>
  </si>
  <si>
    <t xml:space="preserve">Low Temperature Flash Vessel </t>
  </si>
  <si>
    <t>LTFV</t>
  </si>
  <si>
    <t xml:space="preserve">High Temperature Flash Vessel </t>
  </si>
  <si>
    <t>HTFV</t>
  </si>
  <si>
    <t>MED Train - 1</t>
  </si>
  <si>
    <t>MED - E1</t>
  </si>
  <si>
    <t>MED - E2</t>
  </si>
  <si>
    <t>MED - E3</t>
  </si>
  <si>
    <t>MED Train - 2</t>
  </si>
  <si>
    <t>MED - E4</t>
  </si>
  <si>
    <t>MED - E5</t>
  </si>
  <si>
    <t>MED - E6</t>
  </si>
  <si>
    <t>MED Train - 3</t>
  </si>
  <si>
    <t>MED - E7</t>
  </si>
  <si>
    <t>MED - E8</t>
  </si>
  <si>
    <t>MED - E9</t>
  </si>
  <si>
    <t>Final Condenser</t>
  </si>
  <si>
    <t>FC</t>
  </si>
  <si>
    <t>Brine Plate Heat Exchanger</t>
  </si>
  <si>
    <t>BPHE</t>
  </si>
  <si>
    <t>Distillate Plate Heat Exchanger</t>
  </si>
  <si>
    <t>DPHE</t>
  </si>
  <si>
    <t>Brine Tank</t>
  </si>
  <si>
    <t>BT</t>
  </si>
  <si>
    <t>Distillate Tank</t>
  </si>
  <si>
    <t>DT</t>
  </si>
  <si>
    <t>Sea Water Pump</t>
  </si>
  <si>
    <t>SWP</t>
  </si>
  <si>
    <t>Brine Pump</t>
  </si>
  <si>
    <t>BP</t>
  </si>
  <si>
    <t>Distillate Pump</t>
  </si>
  <si>
    <t>DP</t>
  </si>
  <si>
    <t>Initial Fill Pump</t>
  </si>
  <si>
    <t>IFP</t>
  </si>
  <si>
    <t>Make Up Pump</t>
  </si>
  <si>
    <t>MP</t>
  </si>
  <si>
    <t>LTFV-Re Circulation Pump</t>
  </si>
  <si>
    <t>LTFV-RCP</t>
  </si>
  <si>
    <t>HTFV-Re Circulation Pump</t>
  </si>
  <si>
    <t>HTFV-RCP</t>
  </si>
  <si>
    <t>LTFV-Extraction Pump</t>
  </si>
  <si>
    <t>LTFV-EP</t>
  </si>
  <si>
    <t>HTFV-Extraction Pump</t>
  </si>
  <si>
    <t>Distillate Storage Tank</t>
  </si>
  <si>
    <t>DST</t>
  </si>
  <si>
    <t>Anti-Scalant Tank</t>
  </si>
  <si>
    <t>AST</t>
  </si>
  <si>
    <t>Anti-Foam Tank</t>
  </si>
  <si>
    <t>AFT</t>
  </si>
  <si>
    <t>Acid Cleaning Tank</t>
  </si>
  <si>
    <t>ACT</t>
  </si>
  <si>
    <t>S.No</t>
  </si>
  <si>
    <t>Line No</t>
  </si>
  <si>
    <t>Fluid</t>
  </si>
  <si>
    <t>Input Data</t>
  </si>
  <si>
    <t xml:space="preserve">Flow Rate </t>
  </si>
  <si>
    <t>Calculated Velocity</t>
  </si>
  <si>
    <t>Calculated Inner diameter</t>
  </si>
  <si>
    <t>Selected Inner diameter</t>
  </si>
  <si>
    <t>Actual Velocity</t>
  </si>
  <si>
    <t>Tag No.</t>
  </si>
  <si>
    <t>kg/m3</t>
  </si>
  <si>
    <t>m/s</t>
  </si>
  <si>
    <t>mm</t>
  </si>
  <si>
    <t>SEA WATER LINE</t>
  </si>
  <si>
    <t>200-40-SS-SW-01</t>
  </si>
  <si>
    <t>Sea water</t>
  </si>
  <si>
    <t>200-40-SS-SW-02</t>
  </si>
  <si>
    <t>100-40-SS-SW-03</t>
  </si>
  <si>
    <t>100-40-SS-SW-04</t>
  </si>
  <si>
    <t>65-40-SS-SW-05</t>
  </si>
  <si>
    <t>65-40-SS-SW-06</t>
  </si>
  <si>
    <t>65-40-SS-SW-07</t>
  </si>
  <si>
    <t>100-40-SS-SW-08</t>
  </si>
  <si>
    <t>100-40-SS-SW-09</t>
  </si>
  <si>
    <t>65-40-SS-SW-10</t>
  </si>
  <si>
    <t>65-40-SS-SW-11</t>
  </si>
  <si>
    <t>65-40-SS-SW-12</t>
  </si>
  <si>
    <t>100-40-SS-SW-13</t>
  </si>
  <si>
    <t>100-40-SS-SW-14</t>
  </si>
  <si>
    <t>65-40-SS-SW-15</t>
  </si>
  <si>
    <t>65-40-SS-SW-16</t>
  </si>
  <si>
    <t>65-40-SS-SW-17</t>
  </si>
  <si>
    <t>BRINE WATER LINE</t>
  </si>
  <si>
    <t>150-40-SS-BW-01</t>
  </si>
  <si>
    <t>Brine</t>
  </si>
  <si>
    <t>200-40-SS-BW-02</t>
  </si>
  <si>
    <t>250-40-SS-BW-03</t>
  </si>
  <si>
    <t>300-40-SS-BW-04</t>
  </si>
  <si>
    <t>350-40-SS-BW-05</t>
  </si>
  <si>
    <t>400-40-SS-BW-06</t>
  </si>
  <si>
    <t>400-40-SS-BW-07</t>
  </si>
  <si>
    <t>450-40-SS-BW-08</t>
  </si>
  <si>
    <t>ID800-8THK-SS-BW-09</t>
  </si>
  <si>
    <t>ID800-8THK-SS-BW-10</t>
  </si>
  <si>
    <t>XX-XX-SS-BW-11</t>
  </si>
  <si>
    <t>200-40-SS-BW-12</t>
  </si>
  <si>
    <t>150-40-SS-BW-13</t>
  </si>
  <si>
    <t>150-40-SS-BW-14</t>
  </si>
  <si>
    <t>80-40-SS-BW-15</t>
  </si>
  <si>
    <t>80-40-SS-BW-16</t>
  </si>
  <si>
    <t>80-40-SS-BW-17</t>
  </si>
  <si>
    <t>80-40-SS-BW-18</t>
  </si>
  <si>
    <t>80-40-SS-BW-19</t>
  </si>
  <si>
    <t>80-40-SS-BW-20</t>
  </si>
  <si>
    <t>80-40-SS-BW-21</t>
  </si>
  <si>
    <t>80-40-SS-BW-22</t>
  </si>
  <si>
    <t>80-40-SS-BW-23</t>
  </si>
  <si>
    <t>DISTILLATE WATER LINE</t>
  </si>
  <si>
    <t>100-40-SS-DW-01</t>
  </si>
  <si>
    <t>Distillate</t>
  </si>
  <si>
    <t>150-40-SS-DW-02</t>
  </si>
  <si>
    <t>150-40-SS-DW-03</t>
  </si>
  <si>
    <t>200-40-SS-DW-04</t>
  </si>
  <si>
    <t>200-40-SS-DW-05</t>
  </si>
  <si>
    <t>200-40-SS-DW-06</t>
  </si>
  <si>
    <t>200-40-SS-DW-07</t>
  </si>
  <si>
    <t>250-40-SS-DW-08</t>
  </si>
  <si>
    <t>450-40-SS-DW-09</t>
  </si>
  <si>
    <t>450-40-SS-DW-10</t>
  </si>
  <si>
    <t>100-40-SS-DW-11</t>
  </si>
  <si>
    <t>100-40-SS-DW-12</t>
  </si>
  <si>
    <t>100-40-SS-DW-13</t>
  </si>
  <si>
    <t xml:space="preserve">100-40-SS-DW-14 </t>
  </si>
  <si>
    <t>100-40-SS-DW-15</t>
  </si>
  <si>
    <t>100-40-SS-DW-16</t>
  </si>
  <si>
    <t>100-40-SS-DW-17</t>
  </si>
  <si>
    <t>100-40-SS-DW-18</t>
  </si>
  <si>
    <t>25-40-SS-DW-19</t>
  </si>
  <si>
    <t>25-40-SS-DW-20</t>
  </si>
  <si>
    <t>25-40-SS-DW-21</t>
  </si>
  <si>
    <t>25-40-SS-DW-22</t>
  </si>
  <si>
    <t>300-40-SS-DW-23</t>
  </si>
  <si>
    <t>80-40-SS-DW-24</t>
  </si>
  <si>
    <t>80-40-SS-DW-25</t>
  </si>
  <si>
    <t>15-40-SS-DW-26</t>
  </si>
  <si>
    <t>15-40-SS-DW-27</t>
  </si>
  <si>
    <t>200-40-SS-DW-28</t>
  </si>
  <si>
    <t>50-40-SS-DW-29</t>
  </si>
  <si>
    <t>50-40-SS-DW-30</t>
  </si>
  <si>
    <t>25-40-SS-DW-31</t>
  </si>
  <si>
    <t>80-40-SS-DW-32</t>
  </si>
  <si>
    <t>STEAM LINE</t>
  </si>
  <si>
    <t>XXX-40-SS-ST-01</t>
  </si>
  <si>
    <t>Steam</t>
  </si>
  <si>
    <t>XXX-40-SS-ST-02</t>
  </si>
  <si>
    <t>ID720-THK-SS-ST-03</t>
  </si>
  <si>
    <t>XXX-40-SS-ST-04</t>
  </si>
  <si>
    <t>XXX-40-SS-ST-05</t>
  </si>
  <si>
    <t>ID820-THK-SS-ST-06</t>
  </si>
  <si>
    <t>XXX-40-SS-ST-07</t>
  </si>
  <si>
    <t>XXX-40-SS-ST-08</t>
  </si>
  <si>
    <t>ID1100-THK-SS-ST-09</t>
  </si>
  <si>
    <t>XXX-40-SS-ST-10</t>
  </si>
  <si>
    <t>XXX-40-SS-ST-11</t>
  </si>
  <si>
    <t>XXX-40-SS-ST-12</t>
  </si>
  <si>
    <t>500-40-SS-ST-13</t>
  </si>
  <si>
    <t>150-40-SS-ST-14</t>
  </si>
  <si>
    <t xml:space="preserve">NCG LINE </t>
  </si>
  <si>
    <t>40-40-SS-NCG-01</t>
  </si>
  <si>
    <t>Non-Condensable Gas</t>
  </si>
  <si>
    <t>40-40-SS-NCG-02</t>
  </si>
  <si>
    <t>40-40-SS-NCG-03</t>
  </si>
  <si>
    <t>50-40-SS-NCG-04</t>
  </si>
  <si>
    <t>50-40-SS-NCG-05</t>
  </si>
  <si>
    <t>50-40-SS-NCG-06</t>
  </si>
  <si>
    <t>50-40-SS-NCG-07</t>
  </si>
  <si>
    <t>100-40-SS-NCG-08</t>
  </si>
  <si>
    <t>200-40-SS-NCG-09</t>
  </si>
  <si>
    <t>XX-40-SS-NCG-10</t>
  </si>
  <si>
    <t>XX-40-SS-NCG-11</t>
  </si>
  <si>
    <t xml:space="preserve">DOSING LINE </t>
  </si>
  <si>
    <t>XX-40-SS-DO-01</t>
  </si>
  <si>
    <t>XX-40-SS-DO-02</t>
  </si>
  <si>
    <t>XX-40-SS-DO-03</t>
  </si>
  <si>
    <t xml:space="preserve">SERVICE LINE </t>
  </si>
  <si>
    <t>50-40-SS-SE-01</t>
  </si>
  <si>
    <t>50-40-SS-SE-02</t>
  </si>
  <si>
    <t>50-40-SS-SE-03</t>
  </si>
  <si>
    <t>50-40-SS-SE-04</t>
  </si>
  <si>
    <t xml:space="preserve">VENT LINE </t>
  </si>
  <si>
    <t>15-40-SS-VE-01</t>
  </si>
  <si>
    <t>15-40-SS-VE-02</t>
  </si>
  <si>
    <t>15-40-SS-VE-03</t>
  </si>
  <si>
    <t>15-40-SS-VE-04</t>
  </si>
  <si>
    <t>FEED WATER LINE</t>
  </si>
  <si>
    <t>80-40-SS-FE-01</t>
  </si>
  <si>
    <t>Feed Water</t>
  </si>
  <si>
    <t>25-40-SS-FE-1.1</t>
  </si>
  <si>
    <t>25-40-SS-FE-1.2</t>
  </si>
  <si>
    <t>25-40-SS-FE-1.3</t>
  </si>
  <si>
    <t>25-40-SS-FE-1.4</t>
  </si>
  <si>
    <t>25-40-SS-FE-1.5</t>
  </si>
  <si>
    <t>25-40-SS-FE-1.6</t>
  </si>
  <si>
    <t>25-40-SS-FE-1.7</t>
  </si>
  <si>
    <t>25-40-SS-FE-1.8</t>
  </si>
  <si>
    <t>25-40-SS-FE-1.9</t>
  </si>
  <si>
    <t>25-40-SS-FE-1.10</t>
  </si>
  <si>
    <t>80-40-SS-FE-02</t>
  </si>
  <si>
    <t>25-40-SS-FE-2.1</t>
  </si>
  <si>
    <t>25-40-SS-FE-2.2</t>
  </si>
  <si>
    <t>25-40-SS-FE-2.3</t>
  </si>
  <si>
    <t>25-40-SS-FE-2.4</t>
  </si>
  <si>
    <t>25-40-SS-FE-2.5</t>
  </si>
  <si>
    <t>25-40-SS-FE-2.6</t>
  </si>
  <si>
    <t>25-40-SS-FE-2.7</t>
  </si>
  <si>
    <t>25-40-SS-FE-2.8</t>
  </si>
  <si>
    <t>25-40-SS-FE-2.9</t>
  </si>
  <si>
    <t>25-40-SS-FE-2.10</t>
  </si>
  <si>
    <t>80-40-SS-FE-03</t>
  </si>
  <si>
    <t>25-40-SS-FE-3.1</t>
  </si>
  <si>
    <t>25-40-SS-FE-3.2</t>
  </si>
  <si>
    <t>25-40-SS-FE-3.3</t>
  </si>
  <si>
    <t>25-40-SS-FE-3.4</t>
  </si>
  <si>
    <t>25-40-SS-FE-3.5</t>
  </si>
  <si>
    <t>25-40-SS-FE-3.6</t>
  </si>
  <si>
    <t>25-40-SS-FE-3.7</t>
  </si>
  <si>
    <t>25-40-SS-FE-3.8</t>
  </si>
  <si>
    <t>25-40-SS-FE-3.9</t>
  </si>
  <si>
    <t>25-40-SS-FE-3.10</t>
  </si>
  <si>
    <t>80-40-SS-FE-04</t>
  </si>
  <si>
    <t>25-40-SS-FE-4.1</t>
  </si>
  <si>
    <t>25-40-SS-FE-4.2</t>
  </si>
  <si>
    <t>25-40-SS-FE-4.3</t>
  </si>
  <si>
    <t>25-40-SS-FE-4.4</t>
  </si>
  <si>
    <t>25-40-SS-FE-4.5</t>
  </si>
  <si>
    <t>25-40-SS-FE-4.6</t>
  </si>
  <si>
    <t>25-40-SS-FE-4.7</t>
  </si>
  <si>
    <t>25-40-SS-FE-4.8</t>
  </si>
  <si>
    <t>25-40-SS-FE-4.9</t>
  </si>
  <si>
    <t>25-40-SS-FE-4.10</t>
  </si>
  <si>
    <t>80-40-SS-FE-05</t>
  </si>
  <si>
    <t>25-40-SS-FE-5.1</t>
  </si>
  <si>
    <t>25-40-SS-FE-5.2</t>
  </si>
  <si>
    <t>25-40-SS-FE-5.3</t>
  </si>
  <si>
    <t>25-40-SS-FE-5.4</t>
  </si>
  <si>
    <t>25-40-SS-FE-5.5</t>
  </si>
  <si>
    <t>25-40-SS-FE-5.6</t>
  </si>
  <si>
    <t>25-40-SS-FE-5.7</t>
  </si>
  <si>
    <t>25-40-SS-FE-5.8</t>
  </si>
  <si>
    <t>25-40-SS-FE-5.9</t>
  </si>
  <si>
    <t>25-40-SS-FE-5.10</t>
  </si>
  <si>
    <t>80-40-SS-FE-06</t>
  </si>
  <si>
    <t>25-40-SS-FE-6.1</t>
  </si>
  <si>
    <t>25-40-SS-FE-6.2</t>
  </si>
  <si>
    <t>25-40-SS-FE-6.3</t>
  </si>
  <si>
    <t>25-40-SS-FE-6.4</t>
  </si>
  <si>
    <t>25-40-SS-FE-6.5</t>
  </si>
  <si>
    <t>25-40-SS-FE-6.6</t>
  </si>
  <si>
    <t>25-40-SS-FE-6.7</t>
  </si>
  <si>
    <t>25-40-SS-FE-6.8</t>
  </si>
  <si>
    <t>25-40-SS-FE-6.9</t>
  </si>
  <si>
    <t>25-40-SS-FE-6.10</t>
  </si>
  <si>
    <t>80-40-SS-FE-07</t>
  </si>
  <si>
    <t>25-40-SS-FE-7.1</t>
  </si>
  <si>
    <t>25-40-SS-FE-7.2</t>
  </si>
  <si>
    <t>25-40-SS-FE-7.3</t>
  </si>
  <si>
    <t>25-40-SS-FE-7.4</t>
  </si>
  <si>
    <t>25-40-SS-FE-7.5</t>
  </si>
  <si>
    <t>25-40-SS-FE-7.6</t>
  </si>
  <si>
    <t>25-40-SS-FE-7.7</t>
  </si>
  <si>
    <t>25-40-SS-FE-7.8</t>
  </si>
  <si>
    <t>25-40-SS-FE-7.9</t>
  </si>
  <si>
    <t>25-40-SS-FE-7.10</t>
  </si>
  <si>
    <t>80-40-SS-FE-08</t>
  </si>
  <si>
    <t>25-40-SS-FE-8.1</t>
  </si>
  <si>
    <t>25-40-SS-FE-8.2</t>
  </si>
  <si>
    <t>25-40-SS-FE-8.3</t>
  </si>
  <si>
    <t>25-40-SS-FE-8.4</t>
  </si>
  <si>
    <t>25-40-SS-FE-8.5</t>
  </si>
  <si>
    <t>25-40-SS-FE-8.6</t>
  </si>
  <si>
    <t>25-40-SS-FE-8.7</t>
  </si>
  <si>
    <t>25-40-SS-FE-8.8</t>
  </si>
  <si>
    <t>25-40-SS-FE-8.9</t>
  </si>
  <si>
    <t>25-40-SS-FE-8.10</t>
  </si>
  <si>
    <t>80-40-SS-FE-09</t>
  </si>
  <si>
    <t>25-40-SS-FE-9.1</t>
  </si>
  <si>
    <t>25-40-SS-FE-9.2</t>
  </si>
  <si>
    <t>25-40-SS-FE-9.3</t>
  </si>
  <si>
    <t>25-40-SS-FE-9.4</t>
  </si>
  <si>
    <t>25-40-SS-FE-9.5</t>
  </si>
  <si>
    <t>25-40-SS-FE-9.6</t>
  </si>
  <si>
    <t>P&amp;ID No</t>
  </si>
  <si>
    <t>Line No.</t>
  </si>
  <si>
    <t>TAG NO.</t>
  </si>
  <si>
    <t>INSTRUMENT VALVE No.</t>
  </si>
  <si>
    <t>SERVICE LOCATION</t>
  </si>
  <si>
    <t>INSTRUMENT TYPE</t>
  </si>
  <si>
    <t>Operation Condition</t>
  </si>
  <si>
    <t>Instrument data</t>
  </si>
  <si>
    <t>Reference Hookup Diagram</t>
  </si>
  <si>
    <t>Signal Type &amp; Location</t>
  </si>
  <si>
    <t>Instrument Model No</t>
  </si>
  <si>
    <t>Accessories
(Monifold/ TE/TW, etc,)</t>
  </si>
  <si>
    <t>Remarks</t>
  </si>
  <si>
    <t>Pressure (m bar (a))</t>
  </si>
  <si>
    <t>Temperature (Deg C)</t>
  </si>
  <si>
    <t>Flow rate (kg/hr)</t>
  </si>
  <si>
    <t>TDS (ppm)</t>
  </si>
  <si>
    <t>Inst. Range</t>
  </si>
  <si>
    <t>End connection</t>
  </si>
  <si>
    <t>MOC</t>
  </si>
  <si>
    <t>Installation</t>
  </si>
  <si>
    <t>Accessories</t>
  </si>
  <si>
    <t>Local</t>
  </si>
  <si>
    <t>PLC</t>
  </si>
  <si>
    <t>I/O Type</t>
  </si>
  <si>
    <t>Min.</t>
  </si>
  <si>
    <t>Nor.</t>
  </si>
  <si>
    <t>Max.</t>
  </si>
  <si>
    <t>SP40-01-03-001</t>
  </si>
  <si>
    <t>PIT-101</t>
  </si>
  <si>
    <t>IV-101</t>
  </si>
  <si>
    <t>Suction Side - Sea water pump  skid</t>
  </si>
  <si>
    <t>Pressure Indicating Transmitter</t>
  </si>
  <si>
    <t>PG-101</t>
  </si>
  <si>
    <t>IV-102</t>
  </si>
  <si>
    <t>Sea water pump-1 discharge pressure</t>
  </si>
  <si>
    <t>Pressure Gauge</t>
  </si>
  <si>
    <t>PG-102</t>
  </si>
  <si>
    <t>IV-103</t>
  </si>
  <si>
    <t>Discharge Side - Sea water pump-2</t>
  </si>
  <si>
    <t>PSL-101</t>
  </si>
  <si>
    <t>IV-104</t>
  </si>
  <si>
    <t xml:space="preserve">Discharge Side - Sea water pump </t>
  </si>
  <si>
    <t>Pressure Switch</t>
  </si>
  <si>
    <t>PIT-102</t>
  </si>
  <si>
    <t>IV-105</t>
  </si>
  <si>
    <t>Discharge Side - Sea water pump  skid</t>
  </si>
  <si>
    <t>TE-101</t>
  </si>
  <si>
    <t xml:space="preserve">Delivery Side - Sea water pump </t>
  </si>
  <si>
    <t>Temperature Element with TW</t>
  </si>
  <si>
    <t>TIT-101</t>
  </si>
  <si>
    <t>Delivery Side - Sea water pump skid</t>
  </si>
  <si>
    <t>Temperature Indicating Transmitter</t>
  </si>
  <si>
    <t>FIT-110</t>
  </si>
  <si>
    <t>Electro Magnetic Flow meter</t>
  </si>
  <si>
    <t>CIT-101</t>
  </si>
  <si>
    <t>IV-109</t>
  </si>
  <si>
    <t>Conductivity Transmitter</t>
  </si>
  <si>
    <t>PIT-103</t>
  </si>
  <si>
    <t>IV-106</t>
  </si>
  <si>
    <t>Distillate Plate Heat Exchanger - Outlet</t>
  </si>
  <si>
    <t>TE-102</t>
  </si>
  <si>
    <t>TIT-102</t>
  </si>
  <si>
    <t>SP40-01-03-002</t>
  </si>
  <si>
    <t>ZT-101</t>
  </si>
  <si>
    <t>MED - 1st effect</t>
  </si>
  <si>
    <t>Position Transmitter</t>
  </si>
  <si>
    <t>FIT-101</t>
  </si>
  <si>
    <t xml:space="preserve">MED - 1st effect sea water flow </t>
  </si>
  <si>
    <t>ZT-102</t>
  </si>
  <si>
    <t>MED - 2nd effect</t>
  </si>
  <si>
    <t>FIT-102</t>
  </si>
  <si>
    <t xml:space="preserve">MED - 2nd effect sea water flow </t>
  </si>
  <si>
    <t>ZT-103</t>
  </si>
  <si>
    <t>MED - 3rd effect</t>
  </si>
  <si>
    <t>FIT-103</t>
  </si>
  <si>
    <t xml:space="preserve">MED - 3rd effect sea water flow </t>
  </si>
  <si>
    <t>PIT-104</t>
  </si>
  <si>
    <t>IV-107</t>
  </si>
  <si>
    <t>Brine Plate Heat Exchanger - Outlet</t>
  </si>
  <si>
    <t>TE-103</t>
  </si>
  <si>
    <t>TIT-103</t>
  </si>
  <si>
    <t>ZT-104</t>
  </si>
  <si>
    <t>MED - 4th effect</t>
  </si>
  <si>
    <t>FIT-104</t>
  </si>
  <si>
    <t xml:space="preserve">MED - 4th effect sea water flow </t>
  </si>
  <si>
    <t>ZT-105</t>
  </si>
  <si>
    <t>MED - 5th effect</t>
  </si>
  <si>
    <t>FIT-105</t>
  </si>
  <si>
    <t xml:space="preserve">MED - 5th effect sea water flow </t>
  </si>
  <si>
    <t>ZT-106</t>
  </si>
  <si>
    <t>MED - 6th effect</t>
  </si>
  <si>
    <t>FIT-106</t>
  </si>
  <si>
    <t xml:space="preserve">MED - 6th effect sea water flow </t>
  </si>
  <si>
    <t>PIT-105</t>
  </si>
  <si>
    <t>IV-108</t>
  </si>
  <si>
    <t>Final Condenser - Outlet</t>
  </si>
  <si>
    <t>TE-104</t>
  </si>
  <si>
    <t>TIT-104</t>
  </si>
  <si>
    <t>ZT-107</t>
  </si>
  <si>
    <t>MED - 7th effect</t>
  </si>
  <si>
    <t>FIT-107</t>
  </si>
  <si>
    <t xml:space="preserve">MED - 7th effect sea water flow </t>
  </si>
  <si>
    <t>ZT-108</t>
  </si>
  <si>
    <t>MED - 8th effect</t>
  </si>
  <si>
    <t>FIT-108</t>
  </si>
  <si>
    <t xml:space="preserve">MED - 8th effect sea water flow </t>
  </si>
  <si>
    <t>ZT-109</t>
  </si>
  <si>
    <t>MED - 9th effect</t>
  </si>
  <si>
    <t>FIT-109</t>
  </si>
  <si>
    <t xml:space="preserve">MED - 9th effect sea water flow </t>
  </si>
  <si>
    <t>LG-201</t>
  </si>
  <si>
    <t>MED - 1st effect brine level</t>
  </si>
  <si>
    <t>Level Gauge</t>
  </si>
  <si>
    <t>LT-201</t>
  </si>
  <si>
    <t>IV-211 &amp; IV-212</t>
  </si>
  <si>
    <t>Level Transmitter</t>
  </si>
  <si>
    <t>LSH-201</t>
  </si>
  <si>
    <t>MED - 1st effect brine water LSH</t>
  </si>
  <si>
    <t>Level Switch High</t>
  </si>
  <si>
    <t>LSL-201</t>
  </si>
  <si>
    <t>MED - 1st effect brine water LSL</t>
  </si>
  <si>
    <t>Level Switch Low</t>
  </si>
  <si>
    <t>TE-210</t>
  </si>
  <si>
    <t>1st effect to 2nd effect siphon</t>
  </si>
  <si>
    <t>TIT-210</t>
  </si>
  <si>
    <t>LG-202</t>
  </si>
  <si>
    <t>Brine Tank - Brine level</t>
  </si>
  <si>
    <t>LT-202</t>
  </si>
  <si>
    <t>IV-213 &amp; IV-214</t>
  </si>
  <si>
    <t>LSH-202</t>
  </si>
  <si>
    <t>Brine Tank - Brine water LSH</t>
  </si>
  <si>
    <t>LSL-202</t>
  </si>
  <si>
    <t>Brine Tank - Brine water LSL</t>
  </si>
  <si>
    <t>PG-201</t>
  </si>
  <si>
    <t>IV-215</t>
  </si>
  <si>
    <t>Brine Re-Circulation pump 1 - Discharge pressure</t>
  </si>
  <si>
    <t>PG-202</t>
  </si>
  <si>
    <t>IV-216</t>
  </si>
  <si>
    <t>Brine Re-Circulation pump 2 - Discharge pressure</t>
  </si>
  <si>
    <t xml:space="preserve">PSL-201  </t>
  </si>
  <si>
    <t>IV-217</t>
  </si>
  <si>
    <t>Brine Plate Heat Exchanger - Inlet</t>
  </si>
  <si>
    <t>PIT-211</t>
  </si>
  <si>
    <t>IV-218</t>
  </si>
  <si>
    <t>TE-211</t>
  </si>
  <si>
    <t>TIT-211</t>
  </si>
  <si>
    <t>PIT-202</t>
  </si>
  <si>
    <t>IV-219</t>
  </si>
  <si>
    <t>CIT-201</t>
  </si>
  <si>
    <t>IV-220</t>
  </si>
  <si>
    <t>TE-212</t>
  </si>
  <si>
    <t>TIT-212</t>
  </si>
  <si>
    <t>ZT-210</t>
  </si>
  <si>
    <t>PIT-210</t>
  </si>
  <si>
    <t>IV-210</t>
  </si>
  <si>
    <t>Brine make-up line header</t>
  </si>
  <si>
    <t>ZT-201</t>
  </si>
  <si>
    <t>FIT-201</t>
  </si>
  <si>
    <t>PIT-201</t>
  </si>
  <si>
    <t>IV-201</t>
  </si>
  <si>
    <t>TE-201</t>
  </si>
  <si>
    <t>TIT-201</t>
  </si>
  <si>
    <t>ZT-202</t>
  </si>
  <si>
    <t>FIT-202</t>
  </si>
  <si>
    <t>IV-202</t>
  </si>
  <si>
    <t>TE-202</t>
  </si>
  <si>
    <t>TIT-202</t>
  </si>
  <si>
    <t>ZT-203</t>
  </si>
  <si>
    <t>FIT-203</t>
  </si>
  <si>
    <t>PIT-203</t>
  </si>
  <si>
    <t>IV-203</t>
  </si>
  <si>
    <t>TE-203</t>
  </si>
  <si>
    <t>TIT-203</t>
  </si>
  <si>
    <t>ZT-204</t>
  </si>
  <si>
    <t>FIT-204</t>
  </si>
  <si>
    <t>PIT-204</t>
  </si>
  <si>
    <t>IV-204</t>
  </si>
  <si>
    <t>TE-204</t>
  </si>
  <si>
    <t>TIT-204</t>
  </si>
  <si>
    <t>ZT-205</t>
  </si>
  <si>
    <t>FIT-205</t>
  </si>
  <si>
    <t>PIT-205</t>
  </si>
  <si>
    <t>IV-205</t>
  </si>
  <si>
    <t>TE-205</t>
  </si>
  <si>
    <t>TIT-205</t>
  </si>
  <si>
    <t>ZT-206</t>
  </si>
  <si>
    <t>FIT-206</t>
  </si>
  <si>
    <t>PIT-206</t>
  </si>
  <si>
    <t>IV-206</t>
  </si>
  <si>
    <t>TE-206</t>
  </si>
  <si>
    <t>TIT-206</t>
  </si>
  <si>
    <t>ZT-207</t>
  </si>
  <si>
    <t>FIT-207</t>
  </si>
  <si>
    <t>PIT-207</t>
  </si>
  <si>
    <t>IV-207</t>
  </si>
  <si>
    <t>TE-207</t>
  </si>
  <si>
    <t>TIT-207</t>
  </si>
  <si>
    <t>ZT-208</t>
  </si>
  <si>
    <t>FIT-208</t>
  </si>
  <si>
    <t>PIT-208</t>
  </si>
  <si>
    <t>IV-208</t>
  </si>
  <si>
    <t>TE-208</t>
  </si>
  <si>
    <t>TIT-208</t>
  </si>
  <si>
    <t>ZT-209</t>
  </si>
  <si>
    <t>FIT-209</t>
  </si>
  <si>
    <t>PIT-209</t>
  </si>
  <si>
    <t>IV-209</t>
  </si>
  <si>
    <t>TE-209</t>
  </si>
  <si>
    <t>TIT-209</t>
  </si>
  <si>
    <t>LG-301</t>
  </si>
  <si>
    <t>MED - 1st effect distillate level</t>
  </si>
  <si>
    <t>LT-301</t>
  </si>
  <si>
    <t>IV-301 &amp; IV-302</t>
  </si>
  <si>
    <t>LSH-301</t>
  </si>
  <si>
    <t>MED - 1st effect distillate water LSH</t>
  </si>
  <si>
    <t>LSL-301</t>
  </si>
  <si>
    <t>MED - 1st effect distillate water LSL</t>
  </si>
  <si>
    <t>LG-302</t>
  </si>
  <si>
    <t>Distillate Tank distillate level</t>
  </si>
  <si>
    <t>LT-302</t>
  </si>
  <si>
    <t>LSH-302</t>
  </si>
  <si>
    <t>Distillate Tank distillate water LSH</t>
  </si>
  <si>
    <t>LSL-302</t>
  </si>
  <si>
    <t>Distillate Tank distillate water LSL</t>
  </si>
  <si>
    <t>PG-301</t>
  </si>
  <si>
    <t>IV-305</t>
  </si>
  <si>
    <t>DPHE - Suction</t>
  </si>
  <si>
    <t>PG-302</t>
  </si>
  <si>
    <t>IV-306</t>
  </si>
  <si>
    <t>PSL-301</t>
  </si>
  <si>
    <t>IV-307</t>
  </si>
  <si>
    <t>PIT-301</t>
  </si>
  <si>
    <t>IV-308</t>
  </si>
  <si>
    <t>TE-301</t>
  </si>
  <si>
    <t>TIT-301</t>
  </si>
  <si>
    <t>TE-302</t>
  </si>
  <si>
    <t>DPHE - Discharge</t>
  </si>
  <si>
    <t>TIT-302</t>
  </si>
  <si>
    <t>CIT-301</t>
  </si>
  <si>
    <t>IV-309</t>
  </si>
  <si>
    <t>FIT-301</t>
  </si>
  <si>
    <t>SP40-01-03-003</t>
  </si>
  <si>
    <t>LG-303</t>
  </si>
  <si>
    <t>LIT-303</t>
  </si>
  <si>
    <t>LT-303</t>
  </si>
  <si>
    <t>IV-310 &amp; IV-311</t>
  </si>
  <si>
    <t>LSH-303</t>
  </si>
  <si>
    <t>LSL-303</t>
  </si>
  <si>
    <t>PG-303</t>
  </si>
  <si>
    <t>IV-312</t>
  </si>
  <si>
    <t>IFP - Discharge</t>
  </si>
  <si>
    <t>PG-304</t>
  </si>
  <si>
    <t>IV-313</t>
  </si>
  <si>
    <t>MP-1 Discharge</t>
  </si>
  <si>
    <t>PG-305</t>
  </si>
  <si>
    <t>IV-314</t>
  </si>
  <si>
    <t>MP-2 Discharge</t>
  </si>
  <si>
    <t>PSL-302</t>
  </si>
  <si>
    <t>IV-315</t>
  </si>
  <si>
    <t>MP Skid discharge</t>
  </si>
  <si>
    <t>PIT-302</t>
  </si>
  <si>
    <t>IV-316</t>
  </si>
  <si>
    <t>Pressure indicating Transmitter</t>
  </si>
  <si>
    <t>LG-304</t>
  </si>
  <si>
    <t>LT-304</t>
  </si>
  <si>
    <t>IV-317 &amp; IV-318</t>
  </si>
  <si>
    <t>LSH-304</t>
  </si>
  <si>
    <t>LSL-304</t>
  </si>
  <si>
    <t>TE-303</t>
  </si>
  <si>
    <t>TIT-303</t>
  </si>
  <si>
    <t>PG-306</t>
  </si>
  <si>
    <t>LTFV-RCP-1 Discharge</t>
  </si>
  <si>
    <t>PG-307</t>
  </si>
  <si>
    <t>LTFV-RCP-2 Discharge</t>
  </si>
  <si>
    <t>PSL-303</t>
  </si>
  <si>
    <t>LTFV-RCP Skid discharge</t>
  </si>
  <si>
    <t>PIT-303</t>
  </si>
  <si>
    <t>FIT-303</t>
  </si>
  <si>
    <t xml:space="preserve">LTFV - Distillate Inlet </t>
  </si>
  <si>
    <t>TE-304</t>
  </si>
  <si>
    <t>TIT-304</t>
  </si>
  <si>
    <t>LG-305</t>
  </si>
  <si>
    <t>LIT-305</t>
  </si>
  <si>
    <t>LT-305</t>
  </si>
  <si>
    <t>IV-319 &amp; IV-320</t>
  </si>
  <si>
    <t>LSH-305</t>
  </si>
  <si>
    <t>LSL-305</t>
  </si>
  <si>
    <t>TE-305</t>
  </si>
  <si>
    <t>TIT-305</t>
  </si>
  <si>
    <t>PG-308</t>
  </si>
  <si>
    <t>IV-325</t>
  </si>
  <si>
    <t>HTFV-RCP-1 Discharge</t>
  </si>
  <si>
    <t>PG-309</t>
  </si>
  <si>
    <t>IV-326</t>
  </si>
  <si>
    <t>HTFV-RCP-2 Discharge</t>
  </si>
  <si>
    <t>PSL-304</t>
  </si>
  <si>
    <t>IV-327</t>
  </si>
  <si>
    <t>HTFV-RCP Skid discharge</t>
  </si>
  <si>
    <t>PIT-304</t>
  </si>
  <si>
    <t>IV-328</t>
  </si>
  <si>
    <t>FIT-304</t>
  </si>
  <si>
    <t xml:space="preserve">HTFV - Distillate Inlet </t>
  </si>
  <si>
    <t>TE-306</t>
  </si>
  <si>
    <t>TIT-306</t>
  </si>
  <si>
    <t>TE-307</t>
  </si>
  <si>
    <t>Final Condenser - Distillate outlet</t>
  </si>
  <si>
    <t>TIT-307</t>
  </si>
  <si>
    <t>PIT-402</t>
  </si>
  <si>
    <t>IV-402</t>
  </si>
  <si>
    <t>Effect 9 to MVC 1 suction side</t>
  </si>
  <si>
    <t>TE-402</t>
  </si>
  <si>
    <t>TIT-402</t>
  </si>
  <si>
    <t>PIT-403</t>
  </si>
  <si>
    <t>IV-403</t>
  </si>
  <si>
    <t>MVC 1 delivery side</t>
  </si>
  <si>
    <t>TE-403</t>
  </si>
  <si>
    <t>TIT-403</t>
  </si>
  <si>
    <t>PIT-404</t>
  </si>
  <si>
    <t>IV-404</t>
  </si>
  <si>
    <t>MVC 2 delivery side</t>
  </si>
  <si>
    <t>TE-404</t>
  </si>
  <si>
    <t>TIT-404</t>
  </si>
  <si>
    <t>PIT-405</t>
  </si>
  <si>
    <t>IV-405</t>
  </si>
  <si>
    <t>MVC 3 delivery side</t>
  </si>
  <si>
    <t>TE-405</t>
  </si>
  <si>
    <t>TIT-405</t>
  </si>
  <si>
    <t>PIT-407</t>
  </si>
  <si>
    <t>IV-407</t>
  </si>
  <si>
    <t>MED 1st Effect Vapour Box</t>
  </si>
  <si>
    <t>TE-407</t>
  </si>
  <si>
    <t>TIT-407</t>
  </si>
  <si>
    <t>PIT-408</t>
  </si>
  <si>
    <t>IV-408</t>
  </si>
  <si>
    <t>MED 1st Effect</t>
  </si>
  <si>
    <t>TE-408</t>
  </si>
  <si>
    <t>TIT-408</t>
  </si>
  <si>
    <t>TG-401</t>
  </si>
  <si>
    <t>MED 2nd Effect Vapour Box</t>
  </si>
  <si>
    <t>Temperature Gauge</t>
  </si>
  <si>
    <t>PIT-409</t>
  </si>
  <si>
    <t>IV-409</t>
  </si>
  <si>
    <t>MED 2nd Effect</t>
  </si>
  <si>
    <t>TE-409</t>
  </si>
  <si>
    <t>TIT-409</t>
  </si>
  <si>
    <t>TG-402</t>
  </si>
  <si>
    <t>MED 3rd Effect Vapour Box</t>
  </si>
  <si>
    <t>PIT-410</t>
  </si>
  <si>
    <t>IV-410</t>
  </si>
  <si>
    <t>MED 3rd Effect</t>
  </si>
  <si>
    <t>TE-410</t>
  </si>
  <si>
    <t>TIT-410</t>
  </si>
  <si>
    <t>TG-403</t>
  </si>
  <si>
    <t>MED 4th Effect Vapour Box</t>
  </si>
  <si>
    <t>PIT-411</t>
  </si>
  <si>
    <t>IV-411</t>
  </si>
  <si>
    <t>MED 4th Effect</t>
  </si>
  <si>
    <t>TE-411</t>
  </si>
  <si>
    <t>TIT-411</t>
  </si>
  <si>
    <t>TG-404</t>
  </si>
  <si>
    <t>MED 5th Effect Vapour Box</t>
  </si>
  <si>
    <t>PIT-412</t>
  </si>
  <si>
    <t>IV-412</t>
  </si>
  <si>
    <t>MED 5th Effect</t>
  </si>
  <si>
    <t>TE-412</t>
  </si>
  <si>
    <t>TIT-412</t>
  </si>
  <si>
    <t>TG-405</t>
  </si>
  <si>
    <t>MED 6th Effect Vapour Box</t>
  </si>
  <si>
    <t>PIT-413</t>
  </si>
  <si>
    <t>IV-413</t>
  </si>
  <si>
    <t>MED 6th Effect</t>
  </si>
  <si>
    <t>TE-413</t>
  </si>
  <si>
    <t>TIT-413</t>
  </si>
  <si>
    <t>TG-406</t>
  </si>
  <si>
    <t>MED 7th Effect Vapour Box</t>
  </si>
  <si>
    <t>PIT-414</t>
  </si>
  <si>
    <t>IV-414</t>
  </si>
  <si>
    <t>MED 7th Effect</t>
  </si>
  <si>
    <t>TE-414</t>
  </si>
  <si>
    <t>TIT-414</t>
  </si>
  <si>
    <t>TG-407</t>
  </si>
  <si>
    <t>MED 8th Effect Vapour Box</t>
  </si>
  <si>
    <t>PIT-415</t>
  </si>
  <si>
    <t>IV-415</t>
  </si>
  <si>
    <t>MED 8th Effect</t>
  </si>
  <si>
    <t>TE-415</t>
  </si>
  <si>
    <t>TIT-415</t>
  </si>
  <si>
    <t>TG-408</t>
  </si>
  <si>
    <t>MED 9th Effect Vapour Box</t>
  </si>
  <si>
    <t>PIT-416</t>
  </si>
  <si>
    <t>IV-416</t>
  </si>
  <si>
    <t>MED 9th Effect</t>
  </si>
  <si>
    <t>TE-416</t>
  </si>
  <si>
    <t>TIT-416</t>
  </si>
  <si>
    <t>PIT-417</t>
  </si>
  <si>
    <t>IV-417</t>
  </si>
  <si>
    <t>TE-417</t>
  </si>
  <si>
    <t>TIT-417</t>
  </si>
  <si>
    <t>PIT-401</t>
  </si>
  <si>
    <t>IV-401</t>
  </si>
  <si>
    <t>Low Temperature Flash Vessel</t>
  </si>
  <si>
    <t>TE-401</t>
  </si>
  <si>
    <t>TIT-401</t>
  </si>
  <si>
    <t>PIT-406</t>
  </si>
  <si>
    <t>IV-406</t>
  </si>
  <si>
    <t>High Temperature Flash Vessel</t>
  </si>
  <si>
    <t>TE-406</t>
  </si>
  <si>
    <t>TIT-406</t>
  </si>
  <si>
    <t>PIT-501</t>
  </si>
  <si>
    <t>IV-501</t>
  </si>
  <si>
    <t>TE-501</t>
  </si>
  <si>
    <t>TIT-501</t>
  </si>
  <si>
    <t>100-40-SS-NCG-10</t>
  </si>
  <si>
    <t>PG-501</t>
  </si>
  <si>
    <t>IV-502</t>
  </si>
  <si>
    <t>LRVP-1&amp;2 Pump Suction Side</t>
  </si>
  <si>
    <t>100-40-SS-NCG-11</t>
  </si>
  <si>
    <t>PG-502</t>
  </si>
  <si>
    <t>IV-503</t>
  </si>
  <si>
    <t>LRVP-1 Pump Discharge Side</t>
  </si>
  <si>
    <t>PG-503</t>
  </si>
  <si>
    <t>IV-504</t>
  </si>
  <si>
    <t>LRVP-2 Pump Discharge Side</t>
  </si>
  <si>
    <t>SP40-01-03-004</t>
  </si>
  <si>
    <t>LSL-601</t>
  </si>
  <si>
    <t>Limit Switch Low</t>
  </si>
  <si>
    <t>Dosing</t>
  </si>
  <si>
    <t>Anti-Form Tank</t>
  </si>
  <si>
    <t>LSL-602</t>
  </si>
  <si>
    <t>LSL-603</t>
  </si>
  <si>
    <t>LINE NUMBER</t>
  </si>
  <si>
    <t>VALVE TAG No.</t>
  </si>
  <si>
    <t>SERVICE LOACATION</t>
  </si>
  <si>
    <t>VALVE TYPE</t>
  </si>
  <si>
    <t>END CONNECTION</t>
  </si>
  <si>
    <t>SIZE (NB)</t>
  </si>
  <si>
    <t>Delta Pressure (bar)</t>
  </si>
  <si>
    <t>Pressure (Bar)</t>
  </si>
  <si>
    <t>Flow (m3/hr)</t>
  </si>
  <si>
    <t>Valve Operation</t>
  </si>
  <si>
    <t>Body</t>
  </si>
  <si>
    <t>Trim</t>
  </si>
  <si>
    <t>Seat</t>
  </si>
  <si>
    <t>Packing material</t>
  </si>
  <si>
    <t>Leakage Class</t>
  </si>
  <si>
    <t>PIT-101 - Isolation Valve</t>
  </si>
  <si>
    <t>BALL VALVE</t>
  </si>
  <si>
    <t>THREADED</t>
  </si>
  <si>
    <t>NB15</t>
  </si>
  <si>
    <t>BFV-101</t>
  </si>
  <si>
    <t>SWP-1 SUCTION SIDE</t>
  </si>
  <si>
    <t>BUTTERFLY</t>
  </si>
  <si>
    <t>FLANGED</t>
  </si>
  <si>
    <t>NB200</t>
  </si>
  <si>
    <t>BFV-102</t>
  </si>
  <si>
    <t>SWP-2 SUCTION SIDE</t>
  </si>
  <si>
    <t>DV-101</t>
  </si>
  <si>
    <t>ST-101 - Strainer drain valve</t>
  </si>
  <si>
    <t>DV-102</t>
  </si>
  <si>
    <t>ST-102 - Strainer drain valve</t>
  </si>
  <si>
    <t>NRV-101</t>
  </si>
  <si>
    <t>SWP-1 DELIVERY SIDE</t>
  </si>
  <si>
    <t>NON RETURN VALVE</t>
  </si>
  <si>
    <t>NRV-102</t>
  </si>
  <si>
    <t>SWP-2 DELIVERY SIDE</t>
  </si>
  <si>
    <t>BV-101</t>
  </si>
  <si>
    <t>BV-102</t>
  </si>
  <si>
    <t>MOV-101</t>
  </si>
  <si>
    <t>MED-1st effect</t>
  </si>
  <si>
    <t>MOTORIZED GLOBE VALVE</t>
  </si>
  <si>
    <t>NB65</t>
  </si>
  <si>
    <t>MOV-102</t>
  </si>
  <si>
    <t>MED-2nd effect</t>
  </si>
  <si>
    <t>MOV-103</t>
  </si>
  <si>
    <t>MED-3rd effect</t>
  </si>
  <si>
    <t>MOV-104</t>
  </si>
  <si>
    <t>MED-4th effect</t>
  </si>
  <si>
    <t>MOV-105</t>
  </si>
  <si>
    <t>MED-5th effect</t>
  </si>
  <si>
    <t>MOV-106</t>
  </si>
  <si>
    <t>MED-6th effect</t>
  </si>
  <si>
    <t>MOV-107</t>
  </si>
  <si>
    <t>MED-7th effect</t>
  </si>
  <si>
    <t>MOV-108</t>
  </si>
  <si>
    <t>MED-8th effect</t>
  </si>
  <si>
    <t>MOV-109</t>
  </si>
  <si>
    <t>MED-9th effect</t>
  </si>
  <si>
    <t>IV-211</t>
  </si>
  <si>
    <t>NB25</t>
  </si>
  <si>
    <t>IV-212</t>
  </si>
  <si>
    <t>DV-209</t>
  </si>
  <si>
    <t>VV-201</t>
  </si>
  <si>
    <t>DV-201</t>
  </si>
  <si>
    <t>Brine siphon - Effect 1 to Effect 2</t>
  </si>
  <si>
    <t>DV-202</t>
  </si>
  <si>
    <t>Brine siphon - Effect 2 to Effect 3</t>
  </si>
  <si>
    <t>DV-203</t>
  </si>
  <si>
    <t>Brine siphon - Effect 3 to Effect 4</t>
  </si>
  <si>
    <t>DV-204</t>
  </si>
  <si>
    <t>Brine siphon - Effect 4 to Effect 5</t>
  </si>
  <si>
    <t>DV-205</t>
  </si>
  <si>
    <t>Brine siphon - Effect 5 to Effect 6</t>
  </si>
  <si>
    <t>DV-206</t>
  </si>
  <si>
    <t>Brine siphon - Effect 6 to Effect 7</t>
  </si>
  <si>
    <t>DV-207</t>
  </si>
  <si>
    <t>Brine siphon - Effect 7 to Effect 8</t>
  </si>
  <si>
    <t>DV-208</t>
  </si>
  <si>
    <t>Brine siphon - Effect 8 to Effect 9</t>
  </si>
  <si>
    <t>DV-210</t>
  </si>
  <si>
    <t xml:space="preserve">Brine tank - Drain </t>
  </si>
  <si>
    <t>DV-211</t>
  </si>
  <si>
    <t>LIT-202 - Drain</t>
  </si>
  <si>
    <t>IV-213</t>
  </si>
  <si>
    <t>LIT-202 - Isolation valve</t>
  </si>
  <si>
    <t>IV-214</t>
  </si>
  <si>
    <t>BFV-201</t>
  </si>
  <si>
    <t>Isolation valve</t>
  </si>
  <si>
    <t>BUTTERFLY VALVE</t>
  </si>
  <si>
    <t>ID800</t>
  </si>
  <si>
    <t>BFV-202</t>
  </si>
  <si>
    <t>DV-212</t>
  </si>
  <si>
    <t>ST-201 Drain valve</t>
  </si>
  <si>
    <t>DV-213</t>
  </si>
  <si>
    <t>ST-202 Drain valve</t>
  </si>
  <si>
    <t>NB16</t>
  </si>
  <si>
    <t>PG-201 - Isolation valve</t>
  </si>
  <si>
    <t>PG-202 - Isolation valve</t>
  </si>
  <si>
    <t>NRV-210</t>
  </si>
  <si>
    <t>BP SKID - Discharge side</t>
  </si>
  <si>
    <t>NRV-211</t>
  </si>
  <si>
    <t>BV-201</t>
  </si>
  <si>
    <t>BV-202</t>
  </si>
  <si>
    <t>PSL-201</t>
  </si>
  <si>
    <t>PIT-212</t>
  </si>
  <si>
    <t>MOV-210</t>
  </si>
  <si>
    <t>NRV-201</t>
  </si>
  <si>
    <t>Brine make-up line MED - Effect 1</t>
  </si>
  <si>
    <t>NB80</t>
  </si>
  <si>
    <t>BV-203</t>
  </si>
  <si>
    <t>NRV-202</t>
  </si>
  <si>
    <t>Brine make-up line MED - Effect 2</t>
  </si>
  <si>
    <t>BV-204</t>
  </si>
  <si>
    <t>NRV-203</t>
  </si>
  <si>
    <t>Brine make-up line MED - Effect 3</t>
  </si>
  <si>
    <t>BV-205</t>
  </si>
  <si>
    <t>NRV-204</t>
  </si>
  <si>
    <t>Brine make-up line MED - Effect 4</t>
  </si>
  <si>
    <t>BV-206</t>
  </si>
  <si>
    <t>NRV-205</t>
  </si>
  <si>
    <t>Brine make-up line MED - Effect 5</t>
  </si>
  <si>
    <t>BV-207</t>
  </si>
  <si>
    <t>NRV-206</t>
  </si>
  <si>
    <t>Brine make-up line MED - Effect 6</t>
  </si>
  <si>
    <t>BV-208</t>
  </si>
  <si>
    <t>NRV-207</t>
  </si>
  <si>
    <t>Brine make-up line MED - Effect 7</t>
  </si>
  <si>
    <t>BV-209</t>
  </si>
  <si>
    <t>NRV-208</t>
  </si>
  <si>
    <t>Brine make-up line MED - Effect 8</t>
  </si>
  <si>
    <t>BV-210</t>
  </si>
  <si>
    <t>NRV-209</t>
  </si>
  <si>
    <t>Brine make-up line MED - Effect 9</t>
  </si>
  <si>
    <t>BV-211</t>
  </si>
  <si>
    <t>DV-301</t>
  </si>
  <si>
    <t>Vapour box - Drain</t>
  </si>
  <si>
    <t>IV-301</t>
  </si>
  <si>
    <t>LIT-301</t>
  </si>
  <si>
    <t>IV-302</t>
  </si>
  <si>
    <t>DV-302</t>
  </si>
  <si>
    <t xml:space="preserve">LIT-301 - Drain </t>
  </si>
  <si>
    <t>VV-301</t>
  </si>
  <si>
    <t>LIT-301 - Vent</t>
  </si>
  <si>
    <t>DV-303</t>
  </si>
  <si>
    <t>Distillate Siphon - Effect 1 outlet to effect 2 inlet</t>
  </si>
  <si>
    <t>DV-304</t>
  </si>
  <si>
    <t>DV-305</t>
  </si>
  <si>
    <t>Distillate Siphon - Effect 2 outlet to effect 3 inlet</t>
  </si>
  <si>
    <t>DV-306</t>
  </si>
  <si>
    <t>DV-307</t>
  </si>
  <si>
    <t>Distillate Siphon - Effect  3outlet to effect 4 inlet</t>
  </si>
  <si>
    <t>DV-308</t>
  </si>
  <si>
    <t>DV-309</t>
  </si>
  <si>
    <t>DV-310</t>
  </si>
  <si>
    <t>Distillate Siphon - Effect 4 outlet to effect 5 inlet</t>
  </si>
  <si>
    <t>DV-311</t>
  </si>
  <si>
    <t>DV-312</t>
  </si>
  <si>
    <t>Distillate Siphon - Effect 5 outlet to effect 6 inlet</t>
  </si>
  <si>
    <t>DV-313</t>
  </si>
  <si>
    <t>DV-314</t>
  </si>
  <si>
    <t>Distillate Siphon - Effect 6 outlet to effect 7 inlet</t>
  </si>
  <si>
    <t>DV-315</t>
  </si>
  <si>
    <t>DV-316</t>
  </si>
  <si>
    <t>DV-317</t>
  </si>
  <si>
    <t>Distillate Siphon - Effect 7 outlet to effect 8 inlet</t>
  </si>
  <si>
    <t>DV-318</t>
  </si>
  <si>
    <t>DV-319</t>
  </si>
  <si>
    <t>Distillate Siphon - Effect 8 outlet to effect 9 inlet</t>
  </si>
  <si>
    <t>DV-320</t>
  </si>
  <si>
    <t>DV-321</t>
  </si>
  <si>
    <t>Distillate Siphon - Effect 9 outlet to distillate tank inlet</t>
  </si>
  <si>
    <t>DV-322</t>
  </si>
  <si>
    <t xml:space="preserve">Distillate tank - Drain </t>
  </si>
  <si>
    <t>DV-323</t>
  </si>
  <si>
    <t>LIT-302 - Drain</t>
  </si>
  <si>
    <t>IV-303</t>
  </si>
  <si>
    <t>LIT-302 - Isolation valve</t>
  </si>
  <si>
    <t>IV-304</t>
  </si>
  <si>
    <t>BFV-301</t>
  </si>
  <si>
    <t>BFV-302</t>
  </si>
  <si>
    <t>DV-324</t>
  </si>
  <si>
    <t>ST-301 Drain valve</t>
  </si>
  <si>
    <t>DV-325</t>
  </si>
  <si>
    <t>ST-302 Drain valve</t>
  </si>
  <si>
    <t>PG-301 - Isolation valve</t>
  </si>
  <si>
    <t>PG-302 - Isolation valve</t>
  </si>
  <si>
    <t>NRV-301</t>
  </si>
  <si>
    <t>DP SKID - Discharge side</t>
  </si>
  <si>
    <t>NB100</t>
  </si>
  <si>
    <t>NRV-302</t>
  </si>
  <si>
    <t>BV-301</t>
  </si>
  <si>
    <t>BV-302</t>
  </si>
  <si>
    <t>MOV-301</t>
  </si>
  <si>
    <t>NRV-303</t>
  </si>
  <si>
    <t>IV-310</t>
  </si>
  <si>
    <t>IV-311</t>
  </si>
  <si>
    <t>DV-326</t>
  </si>
  <si>
    <t>VV-304</t>
  </si>
  <si>
    <t>DV-327</t>
  </si>
  <si>
    <t>BFV-303</t>
  </si>
  <si>
    <t>IFP - Suction</t>
  </si>
  <si>
    <t>DV-328</t>
  </si>
  <si>
    <t xml:space="preserve">ST-303 - Drain </t>
  </si>
  <si>
    <t>NRV-304</t>
  </si>
  <si>
    <t>BV-303</t>
  </si>
  <si>
    <t>BV-304</t>
  </si>
  <si>
    <t>BFV-304</t>
  </si>
  <si>
    <t>MP-1 Suction</t>
  </si>
  <si>
    <t>BFV-305</t>
  </si>
  <si>
    <t>MP-2 Suction</t>
  </si>
  <si>
    <t>DV-329</t>
  </si>
  <si>
    <t>ST-304</t>
  </si>
  <si>
    <t>DV-330</t>
  </si>
  <si>
    <t>ST-305</t>
  </si>
  <si>
    <t>NRV-305</t>
  </si>
  <si>
    <t>NRV-306</t>
  </si>
  <si>
    <t>BV-305</t>
  </si>
  <si>
    <t>BV-306</t>
  </si>
  <si>
    <t>PRV-301</t>
  </si>
  <si>
    <t>PRESSURE RETAINING VALVE</t>
  </si>
  <si>
    <t>BV-307</t>
  </si>
  <si>
    <t>BEFORE MOV-302</t>
  </si>
  <si>
    <t>MOV-302</t>
  </si>
  <si>
    <t>IV-317</t>
  </si>
  <si>
    <t>IV-318</t>
  </si>
  <si>
    <t>DV-331</t>
  </si>
  <si>
    <t xml:space="preserve">LT-304 - Drain </t>
  </si>
  <si>
    <t>VV-305</t>
  </si>
  <si>
    <t>LT-304 - Vent</t>
  </si>
  <si>
    <t>BFV-306</t>
  </si>
  <si>
    <t>LTFV-RCP-1 Suction</t>
  </si>
  <si>
    <t>BFV-307</t>
  </si>
  <si>
    <t>LTFV-RCP-2 Suction</t>
  </si>
  <si>
    <t>DV-332</t>
  </si>
  <si>
    <t>ST-306</t>
  </si>
  <si>
    <t>DV-333</t>
  </si>
  <si>
    <t>ST-307</t>
  </si>
  <si>
    <t>IV-321</t>
  </si>
  <si>
    <t>IV-322</t>
  </si>
  <si>
    <t>NRV-307</t>
  </si>
  <si>
    <t>LTFV-RCP-1 Delivery</t>
  </si>
  <si>
    <t>NRV-308</t>
  </si>
  <si>
    <t>LTFV-RCP-2 Delivery</t>
  </si>
  <si>
    <t>BV-310</t>
  </si>
  <si>
    <t>BV-311</t>
  </si>
  <si>
    <t>IV-323</t>
  </si>
  <si>
    <t>IV-324</t>
  </si>
  <si>
    <t>BV-308</t>
  </si>
  <si>
    <t>Before MOV-303</t>
  </si>
  <si>
    <t>MOV-303</t>
  </si>
  <si>
    <t>IV-319</t>
  </si>
  <si>
    <t>IV-320</t>
  </si>
  <si>
    <t>DV-334</t>
  </si>
  <si>
    <t xml:space="preserve">LT-305 - Drain </t>
  </si>
  <si>
    <t>VV-306</t>
  </si>
  <si>
    <t>LT-305 - Vent</t>
  </si>
  <si>
    <t>HTFV-RCP-1 Suction</t>
  </si>
  <si>
    <t>HTFV-RCP-2 Suction</t>
  </si>
  <si>
    <t>NRV-309</t>
  </si>
  <si>
    <t>HTFV-RCP-1 Delivery</t>
  </si>
  <si>
    <t>NB50</t>
  </si>
  <si>
    <t>NRV-310</t>
  </si>
  <si>
    <t>HTFV-RCP-2 Delivery</t>
  </si>
  <si>
    <t>BV-312</t>
  </si>
  <si>
    <t>BV-313</t>
  </si>
  <si>
    <t>BV-309</t>
  </si>
  <si>
    <t>Before De-Super heater</t>
  </si>
  <si>
    <t xml:space="preserve">Low Temperature Flash Vessel - PIT 401 </t>
  </si>
  <si>
    <t xml:space="preserve">MVC-1 Discharge Side - PIT 403 </t>
  </si>
  <si>
    <t xml:space="preserve">MVC-2 Discharge Side - PIT 404 </t>
  </si>
  <si>
    <t xml:space="preserve">MVC-3 Discharge Side - PIT 405 </t>
  </si>
  <si>
    <t xml:space="preserve">MED 1st Effect Vapour Box - PIT 407 </t>
  </si>
  <si>
    <t xml:space="preserve">MED 1st Effect - PIT 408 </t>
  </si>
  <si>
    <t xml:space="preserve">MED 2nd Effect - PIT 409 </t>
  </si>
  <si>
    <t xml:space="preserve">MED 3rd Effect - PIT 410 </t>
  </si>
  <si>
    <t xml:space="preserve">MED 4th Effect - PIT 411 </t>
  </si>
  <si>
    <t xml:space="preserve">MED 5th Effect - PIT 412 </t>
  </si>
  <si>
    <t xml:space="preserve">MED 6th Effect - PIT 413 </t>
  </si>
  <si>
    <t xml:space="preserve">MED 7th Effect - PIT 414 </t>
  </si>
  <si>
    <t xml:space="preserve">MED 8th Effect - PIT 415 </t>
  </si>
  <si>
    <t xml:space="preserve">MED 9th Effect - PIT 416 </t>
  </si>
  <si>
    <t xml:space="preserve">MED 9th Effect - PIT 417 </t>
  </si>
  <si>
    <t xml:space="preserve">High Temperature Flash Vessel - PIT 406 </t>
  </si>
  <si>
    <t xml:space="preserve">MVC-1 Suction Side - PIT 402 </t>
  </si>
  <si>
    <t>BV-501</t>
  </si>
  <si>
    <t>MED 1st Effect to 2nd Effect</t>
  </si>
  <si>
    <t>NB40</t>
  </si>
  <si>
    <t>BV-502</t>
  </si>
  <si>
    <t>MED 2nd Effect to 3rd Effect</t>
  </si>
  <si>
    <t>BV-503</t>
  </si>
  <si>
    <t>MED 3rd Effect to 4th Effect</t>
  </si>
  <si>
    <t>BV-504</t>
  </si>
  <si>
    <t>MED 4th Effect to 5th Effect</t>
  </si>
  <si>
    <t xml:space="preserve">NB50 </t>
  </si>
  <si>
    <t>BV-505</t>
  </si>
  <si>
    <t>MED 5th Effect to 6th Effect</t>
  </si>
  <si>
    <t>BV-506</t>
  </si>
  <si>
    <t>MED 6th Effect to 7th Effect</t>
  </si>
  <si>
    <t>BV-507</t>
  </si>
  <si>
    <t>MED 7th Effect to 8th Effect</t>
  </si>
  <si>
    <t>BV-508</t>
  </si>
  <si>
    <t>MED 8th Effect to 9th Effect</t>
  </si>
  <si>
    <t>BV-509</t>
  </si>
  <si>
    <t>MED 9th Effect to Final Condenser</t>
  </si>
  <si>
    <t xml:space="preserve">Final Condenser - PIT 501 </t>
  </si>
  <si>
    <t xml:space="preserve">LRVP-1&amp;2 Pump Suction Side - PIT </t>
  </si>
  <si>
    <t>BV-510</t>
  </si>
  <si>
    <t>LRVP-1 Pump Suction Side</t>
  </si>
  <si>
    <t>BV-511</t>
  </si>
  <si>
    <t>LRVP-2 Pump Suction Side</t>
  </si>
  <si>
    <t xml:space="preserve">LRVP-1 Pump Discharge Side - PIT 503 </t>
  </si>
  <si>
    <t xml:space="preserve">LRVP-2 Pump Discharge Side - PIT 504 </t>
  </si>
  <si>
    <t>NRV-501</t>
  </si>
  <si>
    <t>NRV-502</t>
  </si>
  <si>
    <t>BV-512</t>
  </si>
  <si>
    <t>BV-513</t>
  </si>
  <si>
    <t>DV-601</t>
  </si>
  <si>
    <t>Anti-Scalant Tank- Drain</t>
  </si>
  <si>
    <t>VV-805</t>
  </si>
  <si>
    <t>Anti-Scalant Tank- Vent</t>
  </si>
  <si>
    <t>DV-602</t>
  </si>
  <si>
    <t xml:space="preserve">Anti-Form Tank- Drain </t>
  </si>
  <si>
    <t>VV-806</t>
  </si>
  <si>
    <t>Anti-Form Tank- Vent</t>
  </si>
  <si>
    <t>DV-603</t>
  </si>
  <si>
    <t>Acid Cleaning Tank- Drain</t>
  </si>
  <si>
    <t>VV-807</t>
  </si>
  <si>
    <t>Acid Cleaning Tank- Vent</t>
  </si>
  <si>
    <t>NRV-601</t>
  </si>
  <si>
    <t>AST Pump Discharge Side</t>
  </si>
  <si>
    <t>BV-601</t>
  </si>
  <si>
    <t>NRV-602</t>
  </si>
  <si>
    <t>AFT Pump Discharge Side</t>
  </si>
  <si>
    <t>BV-602</t>
  </si>
  <si>
    <t>NRV-603</t>
  </si>
  <si>
    <t>ACT Pump Discharge Side</t>
  </si>
  <si>
    <t>BV-603</t>
  </si>
  <si>
    <t>BV-701</t>
  </si>
  <si>
    <t>Service Water to Anti-Scalant Tank</t>
  </si>
  <si>
    <t>Service water</t>
  </si>
  <si>
    <t>BV-702</t>
  </si>
  <si>
    <t>Service Water to Anti-Form Tank</t>
  </si>
  <si>
    <t>BV-703</t>
  </si>
  <si>
    <t>Service Water to Acid Cleaning Tank</t>
  </si>
  <si>
    <t>Service Water to Brine Tank</t>
  </si>
  <si>
    <t>VV-801</t>
  </si>
  <si>
    <t>Brine tank to 9th effect tube side</t>
  </si>
  <si>
    <t>Vent</t>
  </si>
  <si>
    <t>VV-802</t>
  </si>
  <si>
    <t>LG-202 to brine tank</t>
  </si>
  <si>
    <t>VV-803</t>
  </si>
  <si>
    <t>Distillate tank to Final Condenser</t>
  </si>
  <si>
    <t>VV-804</t>
  </si>
  <si>
    <t>LG-302 to distillate tank</t>
  </si>
  <si>
    <t>LIST OF STRAINERS</t>
  </si>
  <si>
    <t>Sea Water Pump Skid</t>
  </si>
  <si>
    <t>ST-101</t>
  </si>
  <si>
    <t>SWP-1 Suction side</t>
  </si>
  <si>
    <t>Y-STRAINER</t>
  </si>
  <si>
    <t>ST-102</t>
  </si>
  <si>
    <t>SWP-2 Suction side</t>
  </si>
  <si>
    <t>Brine Pump Skid</t>
  </si>
  <si>
    <t>ST-201</t>
  </si>
  <si>
    <t>BP-1 Suction side</t>
  </si>
  <si>
    <t>ST-202</t>
  </si>
  <si>
    <t>BP-2 Suction side</t>
  </si>
  <si>
    <t>Distillate Pump Skid</t>
  </si>
  <si>
    <t>ST-301</t>
  </si>
  <si>
    <t>DP-1 Suction side</t>
  </si>
  <si>
    <t>NB450</t>
  </si>
  <si>
    <t>ST-302</t>
  </si>
  <si>
    <t>DP-2 Suction side</t>
  </si>
  <si>
    <t xml:space="preserve">Initial Fill Pump </t>
  </si>
  <si>
    <t>ST-303</t>
  </si>
  <si>
    <t>IFP-1 Suction side</t>
  </si>
  <si>
    <t>Make-Up Pump Skid</t>
  </si>
  <si>
    <t>MP-1 Suction side</t>
  </si>
  <si>
    <t>MP-2 Suction side</t>
  </si>
  <si>
    <t>LTFV - Re-Circulation Pump Skid</t>
  </si>
  <si>
    <t>LTFV-RCP-1 Suction side</t>
  </si>
  <si>
    <t>NB300</t>
  </si>
  <si>
    <t>LTFV-RCP-2 Suction side</t>
  </si>
  <si>
    <t>HTFV - Re-Circulation Pump Skid</t>
  </si>
  <si>
    <t>ST-308</t>
  </si>
  <si>
    <t>HTFV-RCP-1 Suction side</t>
  </si>
  <si>
    <t>ST-309</t>
  </si>
  <si>
    <t>HTFV-RCP-2 Suction side</t>
  </si>
  <si>
    <t>ID (mm)</t>
  </si>
  <si>
    <t>Pipe Size (NB)</t>
  </si>
  <si>
    <t>OD (mm)</t>
  </si>
  <si>
    <t>Thickness Sch 40 (mm)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</si>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</sst>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,##0.0000"/>
  </numFmts>
  <fonts count="21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Helv"/>
    </font>
    <font>
      <b/>
      <sz val="16"/>
      <color rgb="FFFFFFFF"/>
      <name val="Aptos Narrow"/>
    </font>
    <font>
      <b/>
      <sz val="11"/>
      <name val="Aptos Narrow"/>
    </font>
    <font>
      <b/>
      <sz val="12"/>
      <color rgb="FFFFFFFF"/>
      <name val="Aptos Narrow"/>
    </font>
    <font>
      <i/>
      <sz val="11"/>
      <color rgb="FF666666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3F3F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3" borderId="0"/>
    <xf numFmtId="0" fontId="6" fillId="0" borderId="0"/>
    <xf numFmtId="0" fontId="10" fillId="10" borderId="8"/>
    <xf numFmtId="0" fontId="5" fillId="11" borderId="0"/>
    <xf numFmtId="0" fontId="9" fillId="0" borderId="0"/>
    <xf numFmtId="0" fontId="16" fillId="0" borderId="0"/>
  </cellStyleXfs>
  <cellXfs count="133">
    <xf numFmtId="0" fontId="0" fillId="0" borderId="0" xfId="0"/>
    <xf numFmtId="0" fontId="0" fillId="0" borderId="3" xfId="0" applyBorder="1"/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2" fontId="2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" fontId="2" fillId="0" borderId="3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" fontId="2" fillId="0" borderId="3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vertical="center"/>
    </xf>
    <xf numFmtId="4" fontId="3" fillId="0" borderId="3" xfId="0" applyNumberFormat="1" applyFont="1" applyBorder="1" applyAlignment="1">
      <alignment vertical="center" wrapText="1"/>
    </xf>
    <xf numFmtId="2" fontId="2" fillId="0" borderId="3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vertical="center" wrapText="1"/>
    </xf>
    <xf numFmtId="3" fontId="2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4" fontId="2" fillId="0" borderId="5" xfId="0" applyNumberFormat="1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" fontId="2" fillId="4" borderId="3" xfId="0" applyNumberFormat="1" applyFont="1" applyFill="1" applyBorder="1" applyAlignment="1">
      <alignment vertical="center"/>
    </xf>
    <xf numFmtId="2" fontId="2" fillId="4" borderId="3" xfId="0" applyNumberFormat="1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7" fillId="3" borderId="7" xfId="1" applyFont="1" applyBorder="1" applyAlignment="1">
      <alignment horizontal="center" vertical="center"/>
    </xf>
    <xf numFmtId="4" fontId="7" fillId="3" borderId="3" xfId="1" applyNumberFormat="1" applyFont="1" applyBorder="1" applyAlignment="1">
      <alignment horizontal="center" vertical="center"/>
    </xf>
    <xf numFmtId="0" fontId="7" fillId="3" borderId="3" xfId="1" applyFont="1" applyBorder="1" applyAlignment="1">
      <alignment horizontal="center" vertical="center"/>
    </xf>
    <xf numFmtId="0" fontId="7" fillId="3" borderId="3" xfId="1" applyFont="1" applyBorder="1" applyAlignment="1">
      <alignment horizontal="center" vertical="center" wrapText="1"/>
    </xf>
    <xf numFmtId="0" fontId="7" fillId="3" borderId="3" xfId="1" applyFont="1" applyBorder="1" applyAlignment="1">
      <alignment vertical="center"/>
    </xf>
    <xf numFmtId="0" fontId="2" fillId="0" borderId="0" xfId="2" applyFont="1" applyAlignment="1">
      <alignment vertical="center"/>
    </xf>
    <xf numFmtId="0" fontId="7" fillId="3" borderId="5" xfId="1" applyFont="1" applyBorder="1" applyAlignment="1">
      <alignment horizontal="center" vertical="center"/>
    </xf>
    <xf numFmtId="4" fontId="4" fillId="0" borderId="3" xfId="2" applyNumberFormat="1" applyFont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4" fontId="2" fillId="0" borderId="3" xfId="2" applyNumberFormat="1" applyFont="1" applyBorder="1" applyAlignment="1">
      <alignment vertical="center"/>
    </xf>
    <xf numFmtId="0" fontId="2" fillId="0" borderId="3" xfId="2" applyFont="1" applyBorder="1" applyAlignment="1">
      <alignment vertical="center"/>
    </xf>
    <xf numFmtId="2" fontId="2" fillId="0" borderId="3" xfId="2" applyNumberFormat="1" applyFont="1" applyBorder="1" applyAlignment="1">
      <alignment horizontal="right" vertical="center"/>
    </xf>
    <xf numFmtId="2" fontId="2" fillId="7" borderId="3" xfId="2" applyNumberFormat="1" applyFont="1" applyFill="1" applyBorder="1" applyAlignment="1">
      <alignment vertical="center"/>
    </xf>
    <xf numFmtId="4" fontId="2" fillId="0" borderId="3" xfId="2" applyNumberFormat="1" applyFont="1" applyBorder="1" applyAlignment="1">
      <alignment horizontal="right" vertical="center"/>
    </xf>
    <xf numFmtId="0" fontId="2" fillId="0" borderId="3" xfId="2" applyFont="1" applyBorder="1" applyAlignment="1">
      <alignment horizontal="right" vertical="center" wrapText="1"/>
    </xf>
    <xf numFmtId="2" fontId="2" fillId="6" borderId="3" xfId="2" applyNumberFormat="1" applyFont="1" applyFill="1" applyBorder="1" applyAlignment="1">
      <alignment horizontal="right" vertical="center"/>
    </xf>
    <xf numFmtId="4" fontId="8" fillId="0" borderId="3" xfId="2" applyNumberFormat="1" applyFont="1" applyBorder="1" applyAlignment="1">
      <alignment horizontal="center" vertical="center"/>
    </xf>
    <xf numFmtId="2" fontId="2" fillId="0" borderId="3" xfId="2" applyNumberFormat="1" applyFont="1" applyBorder="1" applyAlignment="1">
      <alignment vertical="center"/>
    </xf>
    <xf numFmtId="2" fontId="2" fillId="0" borderId="3" xfId="2" applyNumberFormat="1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4" fontId="2" fillId="0" borderId="0" xfId="2" applyNumberFormat="1" applyFont="1" applyAlignment="1">
      <alignment vertical="center"/>
    </xf>
    <xf numFmtId="0" fontId="0" fillId="0" borderId="3" xfId="0" applyBorder="1" applyAlignment="1">
      <alignment horizontal="center" vertical="center" wrapText="1"/>
    </xf>
    <xf numFmtId="12" fontId="0" fillId="0" borderId="3" xfId="0" applyNumberFormat="1" applyBorder="1" applyAlignment="1">
      <alignment horizontal="center" vertical="center" wrapText="1"/>
    </xf>
    <xf numFmtId="4" fontId="0" fillId="8" borderId="3" xfId="0" applyNumberFormat="1" applyFill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2" fontId="2" fillId="0" borderId="0" xfId="2" applyNumberFormat="1" applyFont="1" applyAlignment="1">
      <alignment vertical="center"/>
    </xf>
    <xf numFmtId="2" fontId="2" fillId="0" borderId="3" xfId="2" applyNumberFormat="1" applyFont="1" applyBorder="1" applyAlignment="1">
      <alignment horizontal="right" vertical="center" wrapText="1"/>
    </xf>
    <xf numFmtId="0" fontId="2" fillId="9" borderId="3" xfId="2" applyFont="1" applyFill="1" applyBorder="1" applyAlignment="1">
      <alignment vertical="center"/>
    </xf>
    <xf numFmtId="2" fontId="2" fillId="9" borderId="3" xfId="2" applyNumberFormat="1" applyFont="1" applyFill="1" applyBorder="1" applyAlignment="1">
      <alignment horizontal="right" vertical="center"/>
    </xf>
    <xf numFmtId="2" fontId="2" fillId="9" borderId="3" xfId="2" applyNumberFormat="1" applyFont="1" applyFill="1" applyBorder="1" applyAlignment="1">
      <alignment vertical="center"/>
    </xf>
    <xf numFmtId="4" fontId="8" fillId="0" borderId="3" xfId="2" applyNumberFormat="1" applyFont="1" applyBorder="1" applyAlignment="1">
      <alignment vertical="center"/>
    </xf>
    <xf numFmtId="166" fontId="3" fillId="0" borderId="3" xfId="2" applyNumberFormat="1" applyFont="1" applyBorder="1" applyAlignment="1">
      <alignment vertical="center"/>
    </xf>
    <xf numFmtId="0" fontId="2" fillId="12" borderId="3" xfId="2" applyFont="1" applyFill="1" applyBorder="1" applyAlignment="1">
      <alignment horizontal="center" vertical="center"/>
    </xf>
    <xf numFmtId="4" fontId="2" fillId="12" borderId="3" xfId="2" applyNumberFormat="1" applyFont="1" applyFill="1" applyBorder="1" applyAlignment="1">
      <alignment vertical="center"/>
    </xf>
    <xf numFmtId="0" fontId="2" fillId="12" borderId="3" xfId="2" applyFont="1" applyFill="1" applyBorder="1" applyAlignment="1">
      <alignment vertical="center"/>
    </xf>
    <xf numFmtId="2" fontId="2" fillId="12" borderId="3" xfId="2" applyNumberFormat="1" applyFont="1" applyFill="1" applyBorder="1" applyAlignment="1">
      <alignment horizontal="right" vertical="center"/>
    </xf>
    <xf numFmtId="0" fontId="11" fillId="0" borderId="0" xfId="5" applyFont="1" applyAlignment="1">
      <alignment vertical="center"/>
    </xf>
    <xf numFmtId="0" fontId="11" fillId="0" borderId="3" xfId="5" applyFont="1" applyBorder="1" applyAlignment="1">
      <alignment horizontal="center" vertical="center"/>
    </xf>
    <xf numFmtId="0" fontId="11" fillId="0" borderId="3" xfId="5" applyFont="1" applyBorder="1" applyAlignment="1">
      <alignment vertical="center"/>
    </xf>
    <xf numFmtId="0" fontId="11" fillId="0" borderId="3" xfId="2" applyFont="1" applyBorder="1" applyAlignment="1">
      <alignment vertical="center"/>
    </xf>
    <xf numFmtId="0" fontId="11" fillId="0" borderId="0" xfId="5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Continuous" vertical="center" wrapText="1"/>
    </xf>
    <xf numFmtId="0" fontId="2" fillId="13" borderId="3" xfId="0" applyFont="1" applyFill="1" applyBorder="1" applyAlignment="1">
      <alignment horizontal="centerContinuous" vertical="center"/>
    </xf>
    <xf numFmtId="4" fontId="4" fillId="13" borderId="3" xfId="0" applyNumberFormat="1" applyFont="1" applyFill="1" applyBorder="1" applyAlignment="1">
      <alignment horizontal="centerContinuous" vertical="center" wrapText="1"/>
    </xf>
    <xf numFmtId="0" fontId="4" fillId="13" borderId="3" xfId="0" applyFont="1" applyFill="1" applyBorder="1" applyAlignment="1">
      <alignment horizontal="centerContinuous" vertical="center" wrapText="1"/>
    </xf>
    <xf numFmtId="0" fontId="4" fillId="13" borderId="3" xfId="0" applyFont="1" applyFill="1" applyBorder="1" applyAlignment="1">
      <alignment horizontal="centerContinuous" vertical="center"/>
    </xf>
    <xf numFmtId="0" fontId="2" fillId="0" borderId="0" xfId="5" applyFont="1" applyAlignment="1">
      <alignment vertical="center"/>
    </xf>
    <xf numFmtId="0" fontId="2" fillId="0" borderId="3" xfId="5" applyFont="1" applyBorder="1" applyAlignment="1">
      <alignment horizontal="center" vertical="center"/>
    </xf>
    <xf numFmtId="0" fontId="2" fillId="0" borderId="3" xfId="5" applyFont="1" applyBorder="1" applyAlignment="1">
      <alignment vertical="center"/>
    </xf>
    <xf numFmtId="0" fontId="2" fillId="0" borderId="7" xfId="5" applyFont="1" applyBorder="1" applyAlignment="1">
      <alignment vertical="center"/>
    </xf>
    <xf numFmtId="0" fontId="3" fillId="0" borderId="3" xfId="5" applyFont="1" applyBorder="1" applyAlignment="1">
      <alignment vertical="center"/>
    </xf>
    <xf numFmtId="0" fontId="2" fillId="0" borderId="0" xfId="5" applyFont="1" applyAlignment="1">
      <alignment horizontal="center" vertical="center"/>
    </xf>
    <xf numFmtId="0" fontId="1" fillId="5" borderId="3" xfId="1" applyFont="1" applyFill="1" applyBorder="1" applyAlignment="1">
      <alignment horizontal="centerContinuous" vertical="center"/>
    </xf>
    <xf numFmtId="4" fontId="2" fillId="0" borderId="3" xfId="5" applyNumberFormat="1" applyFont="1" applyBorder="1" applyAlignment="1">
      <alignment vertical="center"/>
    </xf>
    <xf numFmtId="0" fontId="0" fillId="0" borderId="3" xfId="0" applyBorder="1" applyAlignment="1">
      <alignment horizontal="center"/>
    </xf>
    <xf numFmtId="2" fontId="8" fillId="7" borderId="3" xfId="2" applyNumberFormat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vertical="center"/>
    </xf>
    <xf numFmtId="0" fontId="3" fillId="0" borderId="3" xfId="3" applyFont="1" applyFill="1" applyBorder="1" applyAlignment="1">
      <alignment vertical="center"/>
    </xf>
    <xf numFmtId="0" fontId="3" fillId="0" borderId="3" xfId="3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vertical="center"/>
    </xf>
    <xf numFmtId="0" fontId="14" fillId="0" borderId="3" xfId="5" applyFont="1" applyBorder="1" applyAlignment="1">
      <alignment vertical="center"/>
    </xf>
    <xf numFmtId="0" fontId="13" fillId="0" borderId="3" xfId="5" applyFont="1" applyBorder="1" applyAlignment="1">
      <alignment horizontal="center" vertical="center"/>
    </xf>
    <xf numFmtId="0" fontId="15" fillId="0" borderId="3" xfId="6" applyFont="1" applyBorder="1" applyAlignment="1">
      <alignment horizontal="center" vertical="center" wrapText="1"/>
    </xf>
    <xf numFmtId="49" fontId="15" fillId="0" borderId="3" xfId="6" applyNumberFormat="1" applyFont="1" applyBorder="1" applyAlignment="1">
      <alignment horizontal="center" vertical="center" wrapText="1"/>
    </xf>
    <xf numFmtId="0" fontId="15" fillId="0" borderId="6" xfId="6" applyFont="1" applyBorder="1" applyAlignment="1">
      <alignment horizontal="center" vertical="center" wrapText="1"/>
    </xf>
    <xf numFmtId="0" fontId="15" fillId="2" borderId="3" xfId="6" applyFont="1" applyFill="1" applyBorder="1" applyAlignment="1">
      <alignment horizontal="center" vertical="center" wrapText="1"/>
    </xf>
    <xf numFmtId="49" fontId="15" fillId="2" borderId="3" xfId="6" applyNumberFormat="1" applyFont="1" applyFill="1" applyBorder="1" applyAlignment="1">
      <alignment horizontal="center" vertical="center" wrapText="1"/>
    </xf>
    <xf numFmtId="0" fontId="14" fillId="0" borderId="3" xfId="5" applyFont="1" applyBorder="1" applyAlignment="1">
      <alignment horizontal="center" vertical="center"/>
    </xf>
    <xf numFmtId="0" fontId="14" fillId="0" borderId="3" xfId="2" applyFont="1" applyBorder="1" applyAlignment="1">
      <alignment vertical="center"/>
    </xf>
    <xf numFmtId="3" fontId="2" fillId="0" borderId="3" xfId="5" applyNumberFormat="1" applyFont="1" applyBorder="1" applyAlignment="1">
      <alignment vertical="center"/>
    </xf>
    <xf numFmtId="0" fontId="19" fillId="14" borderId="0" xfId="0" applyFont="1" applyFill="1"/>
    <xf numFmtId="0" fontId="20" fillId="0" borderId="0" xfId="0" applyFont="1"/>
    <xf numFmtId="0" fontId="18" fillId="0" borderId="0" xfId="0" applyFont="1"/>
    <xf numFmtId="0" fontId="18" fillId="15" borderId="0" xfId="0" applyFont="1" applyFill="1"/>
    <xf numFmtId="0" fontId="0" fillId="0" borderId="0" xfId="0"/>
    <xf numFmtId="0" fontId="17" fillId="14" borderId="0" xfId="0" applyFont="1" applyFill="1"/>
    <xf numFmtId="0" fontId="7" fillId="3" borderId="3" xfId="1" applyFont="1" applyBorder="1" applyAlignment="1">
      <alignment horizontal="center" vertical="center"/>
    </xf>
    <xf numFmtId="0" fontId="0" fillId="0" borderId="5" xfId="0" applyBorder="1"/>
    <xf numFmtId="0" fontId="15" fillId="0" borderId="3" xfId="6" applyFont="1" applyBorder="1" applyAlignment="1">
      <alignment horizontal="center" vertical="center" wrapText="1"/>
    </xf>
    <xf numFmtId="0" fontId="0" fillId="0" borderId="11" xfId="0" applyBorder="1"/>
    <xf numFmtId="0" fontId="1" fillId="0" borderId="3" xfId="4" applyFont="1" applyFill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15" fillId="0" borderId="3" xfId="4" applyFont="1" applyFill="1" applyBorder="1" applyAlignment="1">
      <alignment horizontal="center" vertical="center"/>
    </xf>
    <xf numFmtId="0" fontId="15" fillId="0" borderId="6" xfId="6" applyFont="1" applyBorder="1" applyAlignment="1">
      <alignment horizontal="center" vertical="center" wrapText="1"/>
    </xf>
    <xf numFmtId="0" fontId="13" fillId="0" borderId="3" xfId="4" applyFont="1" applyFill="1" applyBorder="1" applyAlignment="1">
      <alignment horizontal="center" vertical="center"/>
    </xf>
    <xf numFmtId="0" fontId="15" fillId="2" borderId="3" xfId="6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2" xfId="0" applyBorder="1"/>
    <xf numFmtId="0" fontId="12" fillId="10" borderId="9" xfId="3" applyFont="1" applyBorder="1" applyAlignment="1">
      <alignment vertical="center"/>
    </xf>
    <xf numFmtId="0" fontId="0" fillId="0" borderId="10" xfId="0" applyBorder="1"/>
  </cellXfs>
  <cellStyles count="7">
    <cellStyle name="Accent1" xfId="4" builtinId="29"/>
    <cellStyle name="Accent5" xfId="1" builtinId="45"/>
    <cellStyle name="Check Cell" xfId="3" builtinId="23"/>
    <cellStyle name="Normal" xfId="0" builtinId="0"/>
    <cellStyle name="Normal 2" xfId="2" xr:uid="{00000000-0005-0000-0000-000002000000}"/>
    <cellStyle name="Normal 2 2" xfId="5" xr:uid="{00000000-0005-0000-0000-000005000000}"/>
    <cellStyle name="Normal_Sheet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5\E\PROJECTS\10.Carbon%20Black\1.DOCUMENTS\10.%20Specification%20for%20Valves\1.%20Specification%20for%20Globe%20Valve\Rev-00\globe%20valve%20300-ENG-8905-03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6B-1"/>
      <sheetName val="036-SPEC"/>
      <sheetName val="GLOBE VALV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workbookViewId="0"/>
  </sheetViews>
  <sheetFormatPr defaultRowHeight="15" x14ac:dyDescent="0.25"/>
  <cols>
    <col min="1" max="1" width="25" customWidth="1"/>
    <col min="2" max="2" width="55" customWidth="1"/>
    <col min="3" max="3" width="50" customWidth="1"/>
    <col min="4" max="4" width="30" customWidth="1"/>
    <col min="5" max="5" width="20" customWidth="1"/>
  </cols>
  <sheetData>
    <row r="1" spans="1:5" ht="21" x14ac:dyDescent="0.35">
      <c r="A1" s="117" t="s">
        <v>0</v>
      </c>
      <c r="B1" s="116"/>
      <c r="C1" s="116"/>
      <c r="D1" s="116"/>
      <c r="E1" s="116"/>
    </row>
    <row r="3" spans="1:5" x14ac:dyDescent="0.25">
      <c r="A3" s="115" t="s">
        <v>1</v>
      </c>
      <c r="B3" s="116"/>
      <c r="C3" s="116"/>
      <c r="D3" s="116"/>
      <c r="E3" s="116"/>
    </row>
    <row r="4" spans="1:5" ht="15.75" x14ac:dyDescent="0.25">
      <c r="A4" s="112" t="s">
        <v>2</v>
      </c>
      <c r="B4" s="112" t="s">
        <v>3</v>
      </c>
      <c r="C4" s="112" t="s">
        <v>4</v>
      </c>
    </row>
    <row r="5" spans="1:5" x14ac:dyDescent="0.25">
      <c r="A5" t="s">
        <v>5</v>
      </c>
      <c r="B5" t="s">
        <v>6</v>
      </c>
      <c r="C5" t="s">
        <v>7</v>
      </c>
    </row>
    <row r="6" spans="1:5" x14ac:dyDescent="0.25">
      <c r="A6" t="s">
        <v>8</v>
      </c>
      <c r="B6" t="s">
        <v>9</v>
      </c>
      <c r="C6" t="s">
        <v>10</v>
      </c>
    </row>
    <row r="7" spans="1:5" x14ac:dyDescent="0.25">
      <c r="A7" t="s">
        <v>11</v>
      </c>
      <c r="B7" t="s">
        <v>9</v>
      </c>
      <c r="C7" t="s">
        <v>12</v>
      </c>
    </row>
    <row r="8" spans="1:5" x14ac:dyDescent="0.25">
      <c r="A8" t="s">
        <v>13</v>
      </c>
      <c r="B8" t="s">
        <v>9</v>
      </c>
      <c r="C8" t="s">
        <v>14</v>
      </c>
    </row>
    <row r="9" spans="1:5" x14ac:dyDescent="0.25">
      <c r="A9" t="s">
        <v>15</v>
      </c>
      <c r="B9" t="s">
        <v>9</v>
      </c>
      <c r="C9" t="s">
        <v>14</v>
      </c>
    </row>
    <row r="10" spans="1:5" x14ac:dyDescent="0.25">
      <c r="A10" t="s">
        <v>16</v>
      </c>
      <c r="B10" t="s">
        <v>17</v>
      </c>
      <c r="C10" t="s">
        <v>18</v>
      </c>
    </row>
    <row r="12" spans="1:5" x14ac:dyDescent="0.25">
      <c r="A12" s="115" t="s">
        <v>19</v>
      </c>
      <c r="B12" s="116"/>
      <c r="C12" s="116"/>
      <c r="D12" s="116"/>
      <c r="E12" s="116"/>
    </row>
    <row r="13" spans="1:5" ht="15.75" x14ac:dyDescent="0.25">
      <c r="A13" s="112" t="s">
        <v>20</v>
      </c>
      <c r="B13" s="112" t="s">
        <v>21</v>
      </c>
      <c r="C13" s="112" t="s">
        <v>22</v>
      </c>
      <c r="D13" s="112" t="s">
        <v>4</v>
      </c>
    </row>
    <row r="14" spans="1:5" x14ac:dyDescent="0.25">
      <c r="A14" t="s">
        <v>23</v>
      </c>
      <c r="B14" t="s">
        <v>5</v>
      </c>
      <c r="C14" t="s">
        <v>24</v>
      </c>
      <c r="D14" t="s">
        <v>25</v>
      </c>
    </row>
    <row r="15" spans="1:5" x14ac:dyDescent="0.25">
      <c r="A15" t="s">
        <v>26</v>
      </c>
      <c r="B15" t="s">
        <v>5</v>
      </c>
      <c r="C15" t="s">
        <v>27</v>
      </c>
      <c r="D15" t="s">
        <v>28</v>
      </c>
    </row>
    <row r="16" spans="1:5" x14ac:dyDescent="0.25">
      <c r="A16" t="s">
        <v>29</v>
      </c>
      <c r="B16" t="s">
        <v>5</v>
      </c>
      <c r="C16" t="s">
        <v>30</v>
      </c>
      <c r="D16" t="s">
        <v>31</v>
      </c>
    </row>
    <row r="17" spans="1:5" x14ac:dyDescent="0.25">
      <c r="A17" t="s">
        <v>32</v>
      </c>
      <c r="B17" t="s">
        <v>5</v>
      </c>
      <c r="C17" t="s">
        <v>33</v>
      </c>
      <c r="D17" t="s">
        <v>34</v>
      </c>
    </row>
    <row r="18" spans="1:5" x14ac:dyDescent="0.25">
      <c r="A18" t="s">
        <v>35</v>
      </c>
      <c r="B18" t="s">
        <v>5</v>
      </c>
      <c r="C18" t="s">
        <v>36</v>
      </c>
      <c r="D18" t="s">
        <v>37</v>
      </c>
    </row>
    <row r="19" spans="1:5" x14ac:dyDescent="0.25">
      <c r="A19" t="s">
        <v>38</v>
      </c>
      <c r="B19" t="s">
        <v>5</v>
      </c>
      <c r="C19" t="s">
        <v>39</v>
      </c>
      <c r="D19" t="s">
        <v>40</v>
      </c>
    </row>
    <row r="20" spans="1:5" x14ac:dyDescent="0.25">
      <c r="A20" t="s">
        <v>41</v>
      </c>
      <c r="B20" t="s">
        <v>5</v>
      </c>
      <c r="C20" t="s">
        <v>42</v>
      </c>
      <c r="D20" t="s">
        <v>43</v>
      </c>
    </row>
    <row r="21" spans="1:5" x14ac:dyDescent="0.25">
      <c r="A21" t="s">
        <v>44</v>
      </c>
      <c r="B21" t="s">
        <v>5</v>
      </c>
      <c r="C21" t="s">
        <v>45</v>
      </c>
      <c r="D21" t="s">
        <v>46</v>
      </c>
    </row>
    <row r="22" spans="1:5" x14ac:dyDescent="0.25">
      <c r="A22" t="s">
        <v>47</v>
      </c>
      <c r="B22" t="s">
        <v>5</v>
      </c>
      <c r="C22" t="s">
        <v>48</v>
      </c>
      <c r="D22" t="s">
        <v>49</v>
      </c>
    </row>
    <row r="23" spans="1:5" x14ac:dyDescent="0.25">
      <c r="A23" t="s">
        <v>50</v>
      </c>
      <c r="B23" t="s">
        <v>5</v>
      </c>
      <c r="C23" t="s">
        <v>51</v>
      </c>
      <c r="D23" t="s">
        <v>52</v>
      </c>
    </row>
    <row r="24" spans="1:5" x14ac:dyDescent="0.25">
      <c r="A24" t="s">
        <v>53</v>
      </c>
      <c r="B24" t="s">
        <v>16</v>
      </c>
      <c r="C24" t="s">
        <v>54</v>
      </c>
      <c r="D24" t="s">
        <v>55</v>
      </c>
    </row>
    <row r="25" spans="1:5" x14ac:dyDescent="0.25">
      <c r="A25" t="s">
        <v>56</v>
      </c>
      <c r="B25" t="s">
        <v>16</v>
      </c>
      <c r="C25" t="s">
        <v>57</v>
      </c>
      <c r="D25" t="s">
        <v>58</v>
      </c>
    </row>
    <row r="26" spans="1:5" x14ac:dyDescent="0.25">
      <c r="A26" t="s">
        <v>59</v>
      </c>
      <c r="B26" t="s">
        <v>8</v>
      </c>
      <c r="C26" t="s">
        <v>60</v>
      </c>
      <c r="D26" t="s">
        <v>61</v>
      </c>
    </row>
    <row r="27" spans="1:5" x14ac:dyDescent="0.25">
      <c r="A27" t="s">
        <v>62</v>
      </c>
      <c r="B27" t="s">
        <v>11</v>
      </c>
      <c r="C27" t="s">
        <v>63</v>
      </c>
      <c r="D27" t="s">
        <v>64</v>
      </c>
    </row>
    <row r="29" spans="1:5" x14ac:dyDescent="0.25">
      <c r="A29" s="115" t="s">
        <v>65</v>
      </c>
      <c r="B29" s="116"/>
      <c r="C29" s="116"/>
      <c r="D29" s="116"/>
      <c r="E29" s="116"/>
    </row>
    <row r="30" spans="1:5" ht="15.75" x14ac:dyDescent="0.25">
      <c r="A30" s="112" t="s">
        <v>66</v>
      </c>
      <c r="B30" s="112" t="s">
        <v>67</v>
      </c>
      <c r="C30" s="112" t="s">
        <v>4</v>
      </c>
    </row>
    <row r="31" spans="1:5" x14ac:dyDescent="0.25">
      <c r="A31" t="s">
        <v>68</v>
      </c>
      <c r="B31" t="s">
        <v>69</v>
      </c>
      <c r="C31" t="s">
        <v>70</v>
      </c>
    </row>
    <row r="32" spans="1:5" x14ac:dyDescent="0.25">
      <c r="A32" t="s">
        <v>71</v>
      </c>
      <c r="B32" t="s">
        <v>72</v>
      </c>
      <c r="C32" t="s">
        <v>73</v>
      </c>
    </row>
    <row r="33" spans="1:5" x14ac:dyDescent="0.25">
      <c r="A33" t="s">
        <v>74</v>
      </c>
      <c r="B33" t="s">
        <v>75</v>
      </c>
      <c r="C33" t="s">
        <v>76</v>
      </c>
    </row>
    <row r="34" spans="1:5" x14ac:dyDescent="0.25">
      <c r="A34" t="s">
        <v>77</v>
      </c>
      <c r="B34" t="s">
        <v>78</v>
      </c>
      <c r="C34" t="s">
        <v>79</v>
      </c>
    </row>
    <row r="35" spans="1:5" x14ac:dyDescent="0.25">
      <c r="A35" t="s">
        <v>80</v>
      </c>
      <c r="B35" t="s">
        <v>81</v>
      </c>
      <c r="C35" t="s">
        <v>82</v>
      </c>
    </row>
    <row r="36" spans="1:5" x14ac:dyDescent="0.25">
      <c r="A36" t="s">
        <v>83</v>
      </c>
      <c r="B36" t="s">
        <v>84</v>
      </c>
      <c r="C36" t="s">
        <v>85</v>
      </c>
    </row>
    <row r="38" spans="1:5" x14ac:dyDescent="0.25">
      <c r="A38" s="115" t="s">
        <v>86</v>
      </c>
      <c r="B38" s="116"/>
      <c r="C38" s="116"/>
      <c r="D38" s="116"/>
      <c r="E38" s="116"/>
    </row>
    <row r="39" spans="1:5" ht="15.75" x14ac:dyDescent="0.25">
      <c r="A39" s="112" t="s">
        <v>87</v>
      </c>
      <c r="B39" s="112" t="s">
        <v>88</v>
      </c>
      <c r="C39" s="112" t="s">
        <v>89</v>
      </c>
    </row>
    <row r="40" spans="1:5" x14ac:dyDescent="0.25">
      <c r="A40" t="s">
        <v>90</v>
      </c>
      <c r="B40" t="str">
        <f>IFERROR(INDEX(Pressures_bar,MATCH(LineTag,LineTags,0)),"")</f>
        <v/>
      </c>
      <c r="C40" t="s">
        <v>91</v>
      </c>
    </row>
    <row r="41" spans="1:5" x14ac:dyDescent="0.25">
      <c r="A41" t="s">
        <v>92</v>
      </c>
      <c r="B41" t="str">
        <f>IFERROR(INDEX(FlowRates_kgs,MATCH(LineTag,LineTags,0)),"")</f>
        <v/>
      </c>
      <c r="C41" t="s">
        <v>93</v>
      </c>
    </row>
    <row r="42" spans="1:5" x14ac:dyDescent="0.25">
      <c r="A42" t="s">
        <v>94</v>
      </c>
      <c r="B42" t="str">
        <f>IFERROR(INDEX(Temperatures,MATCH(LineTag,LineTags,0)),"")</f>
        <v/>
      </c>
      <c r="C42" t="s">
        <v>95</v>
      </c>
    </row>
    <row r="43" spans="1:5" x14ac:dyDescent="0.25">
      <c r="A43" t="s">
        <v>96</v>
      </c>
      <c r="B43" t="str">
        <f>IFERROR(INDEX(Densities,MATCH(LineTag,LineTags,0)),"")</f>
        <v/>
      </c>
      <c r="C43" t="s">
        <v>97</v>
      </c>
    </row>
    <row r="44" spans="1:5" x14ac:dyDescent="0.25">
      <c r="A44" t="s">
        <v>98</v>
      </c>
      <c r="B44" t="str">
        <f>IFERROR(VLOOKUP(ROUNDUP(CalcID,-1),PipeReference,2,FALSE),"Check")</f>
        <v>Check</v>
      </c>
      <c r="C44" t="s">
        <v>99</v>
      </c>
    </row>
    <row r="46" spans="1:5" x14ac:dyDescent="0.25">
      <c r="A46" s="115" t="s">
        <v>100</v>
      </c>
      <c r="B46" s="116"/>
      <c r="C46" s="116"/>
      <c r="D46" s="116"/>
      <c r="E46" s="116"/>
    </row>
    <row r="47" spans="1:5" ht="15.75" x14ac:dyDescent="0.25">
      <c r="A47" s="112" t="s">
        <v>21</v>
      </c>
      <c r="B47" s="112" t="s">
        <v>101</v>
      </c>
      <c r="C47" s="112" t="s">
        <v>102</v>
      </c>
    </row>
    <row r="48" spans="1:5" x14ac:dyDescent="0.25">
      <c r="A48" t="s">
        <v>11</v>
      </c>
      <c r="B48" t="s">
        <v>103</v>
      </c>
      <c r="C48" t="s">
        <v>104</v>
      </c>
    </row>
    <row r="49" spans="1:3" x14ac:dyDescent="0.25">
      <c r="A49" t="s">
        <v>13</v>
      </c>
      <c r="B49" t="s">
        <v>105</v>
      </c>
      <c r="C49" t="s">
        <v>106</v>
      </c>
    </row>
    <row r="50" spans="1:3" x14ac:dyDescent="0.25">
      <c r="A50" t="s">
        <v>13</v>
      </c>
      <c r="B50" t="s">
        <v>107</v>
      </c>
      <c r="C50" t="s">
        <v>108</v>
      </c>
    </row>
    <row r="51" spans="1:3" x14ac:dyDescent="0.25">
      <c r="A51" t="s">
        <v>15</v>
      </c>
      <c r="B51" t="s">
        <v>109</v>
      </c>
      <c r="C51" t="s">
        <v>106</v>
      </c>
    </row>
    <row r="52" spans="1:3" x14ac:dyDescent="0.25">
      <c r="A52" t="s">
        <v>15</v>
      </c>
      <c r="B52" t="s">
        <v>110</v>
      </c>
      <c r="C52" t="s">
        <v>108</v>
      </c>
    </row>
    <row r="53" spans="1:3" x14ac:dyDescent="0.25">
      <c r="A53" t="s">
        <v>8</v>
      </c>
      <c r="B53" t="s">
        <v>111</v>
      </c>
      <c r="C53" t="s">
        <v>104</v>
      </c>
    </row>
    <row r="55" spans="1:3" x14ac:dyDescent="0.25">
      <c r="A55" s="114" t="s">
        <v>112</v>
      </c>
    </row>
    <row r="56" spans="1:3" x14ac:dyDescent="0.25">
      <c r="A56" t="s">
        <v>113</v>
      </c>
      <c r="B56" t="s">
        <v>114</v>
      </c>
      <c r="C56" t="s">
        <v>115</v>
      </c>
    </row>
  </sheetData>
  <mergeCells count="6">
    <mergeCell ref="A29:E29"/>
    <mergeCell ref="A12:E12"/>
    <mergeCell ref="A38:E38"/>
    <mergeCell ref="A1:E1"/>
    <mergeCell ref="A46:E46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5"/>
  <sheetViews>
    <sheetView workbookViewId="0">
      <pane ySplit="1" topLeftCell="A2" activePane="bottomLeft" state="frozen"/>
      <selection pane="bottomLeft" activeCell="C15" sqref="C15"/>
    </sheetView>
  </sheetViews>
  <sheetFormatPr defaultRowHeight="24.95" customHeight="1" x14ac:dyDescent="0.25"/>
  <cols>
    <col min="1" max="1" width="12.5703125" style="4" bestFit="1" customWidth="1"/>
    <col min="2" max="2" width="28.85546875" style="4" customWidth="1"/>
    <col min="3" max="3" width="13.7109375" style="15" customWidth="1"/>
    <col min="4" max="4" width="13.7109375" style="4" customWidth="1"/>
    <col min="5" max="5" width="9.42578125" style="4" bestFit="1" customWidth="1"/>
    <col min="6" max="6" width="9.42578125" style="4" customWidth="1"/>
    <col min="7" max="7" width="14" style="4" bestFit="1" customWidth="1"/>
    <col min="8" max="8" width="8.85546875" style="4" customWidth="1"/>
    <col min="9" max="9" width="10" style="4" customWidth="1"/>
    <col min="10" max="10" width="38.42578125" style="4" customWidth="1"/>
    <col min="11" max="11" width="19.85546875" style="4" customWidth="1"/>
    <col min="12" max="12" width="3.85546875" style="4" bestFit="1" customWidth="1"/>
    <col min="13" max="13" width="9.140625" style="4" customWidth="1"/>
    <col min="14" max="16384" width="9.140625" style="4"/>
  </cols>
  <sheetData>
    <row r="1" spans="1:12" ht="35.1" customHeight="1" x14ac:dyDescent="0.25">
      <c r="A1" s="13" t="s">
        <v>116</v>
      </c>
      <c r="B1" s="13" t="s">
        <v>4</v>
      </c>
      <c r="C1" s="23" t="s">
        <v>117</v>
      </c>
      <c r="D1" s="24" t="s">
        <v>117</v>
      </c>
      <c r="E1" s="24" t="s">
        <v>118</v>
      </c>
      <c r="F1" s="24" t="s">
        <v>118</v>
      </c>
      <c r="G1" s="24" t="s">
        <v>119</v>
      </c>
      <c r="H1" s="24" t="s">
        <v>120</v>
      </c>
      <c r="I1" s="24" t="s">
        <v>121</v>
      </c>
      <c r="J1" s="24" t="s">
        <v>122</v>
      </c>
      <c r="L1" s="113" t="s">
        <v>123</v>
      </c>
    </row>
    <row r="2" spans="1:12" ht="24.95" customHeight="1" x14ac:dyDescent="0.25">
      <c r="A2" s="25" t="s">
        <v>124</v>
      </c>
      <c r="B2" s="81"/>
      <c r="C2" s="21" t="s">
        <v>125</v>
      </c>
      <c r="D2" s="22" t="s">
        <v>126</v>
      </c>
      <c r="E2" s="22" t="s">
        <v>127</v>
      </c>
      <c r="F2" s="22" t="s">
        <v>128</v>
      </c>
      <c r="G2" s="22" t="s">
        <v>129</v>
      </c>
      <c r="H2" s="22" t="s">
        <v>130</v>
      </c>
      <c r="I2" s="22" t="s">
        <v>131</v>
      </c>
      <c r="J2" s="82" t="s">
        <v>132</v>
      </c>
      <c r="L2" s="113" t="s">
        <v>133</v>
      </c>
    </row>
    <row r="3" spans="1:12" ht="24.95" customHeight="1" x14ac:dyDescent="0.25">
      <c r="A3" s="83" t="s">
        <v>134</v>
      </c>
      <c r="B3" s="84"/>
      <c r="C3" s="85"/>
      <c r="D3" s="86"/>
      <c r="E3" s="86"/>
      <c r="F3" s="86"/>
      <c r="G3" s="86"/>
      <c r="H3" s="86"/>
      <c r="I3" s="86"/>
      <c r="J3" s="87"/>
      <c r="L3" s="113" t="s">
        <v>135</v>
      </c>
    </row>
    <row r="4" spans="1:12" ht="24.95" customHeight="1" x14ac:dyDescent="0.25">
      <c r="A4" s="5" t="s">
        <v>136</v>
      </c>
      <c r="B4" s="5"/>
      <c r="C4" s="14">
        <v>32.089503980629182</v>
      </c>
      <c r="D4" s="16">
        <f>C4*3600</f>
        <v>115522.21433026505</v>
      </c>
      <c r="E4" s="26">
        <f t="shared" ref="E4:E20" si="0">F4*1000</f>
        <v>1000</v>
      </c>
      <c r="F4" s="14">
        <v>1</v>
      </c>
      <c r="G4" s="14">
        <v>30</v>
      </c>
      <c r="H4" s="14">
        <v>1026.3218958346999</v>
      </c>
      <c r="I4" s="16">
        <v>39504.431630128689</v>
      </c>
      <c r="J4" s="16">
        <v>448.44017964579871</v>
      </c>
    </row>
    <row r="5" spans="1:12" ht="24.95" customHeight="1" x14ac:dyDescent="0.25">
      <c r="A5" s="5" t="s">
        <v>137</v>
      </c>
      <c r="B5" s="5"/>
      <c r="C5" s="14">
        <v>32.089503980629182</v>
      </c>
      <c r="D5" s="16">
        <f>C5*3600</f>
        <v>115522.21433026505</v>
      </c>
      <c r="E5" s="26">
        <f t="shared" si="0"/>
        <v>3500</v>
      </c>
      <c r="F5" s="14">
        <v>3.5</v>
      </c>
      <c r="G5" s="14">
        <v>30.086198338280042</v>
      </c>
      <c r="H5" s="14">
        <v>1026.4080375536801</v>
      </c>
      <c r="I5" s="16">
        <v>39504.431630128689</v>
      </c>
      <c r="J5" s="16">
        <v>448.78213354510081</v>
      </c>
    </row>
    <row r="6" spans="1:12" ht="24.95" customHeight="1" x14ac:dyDescent="0.25">
      <c r="A6" s="5" t="s">
        <v>138</v>
      </c>
      <c r="B6" s="5"/>
      <c r="C6" s="14">
        <v>11.19</v>
      </c>
      <c r="D6" s="16">
        <f>C6*3600</f>
        <v>40284</v>
      </c>
      <c r="E6" s="26">
        <f t="shared" si="0"/>
        <v>3500</v>
      </c>
      <c r="F6" s="14">
        <v>3.5</v>
      </c>
      <c r="G6" s="14">
        <v>30.08630369228905</v>
      </c>
      <c r="H6" s="14">
        <v>1026.4100000000001</v>
      </c>
      <c r="I6" s="16">
        <v>39504.431630128704</v>
      </c>
      <c r="J6" s="16">
        <v>448.7825518842983</v>
      </c>
    </row>
    <row r="7" spans="1:12" ht="24.95" customHeight="1" x14ac:dyDescent="0.25">
      <c r="A7" s="5" t="s">
        <v>139</v>
      </c>
      <c r="B7" s="5"/>
      <c r="C7" s="14">
        <v>11.18950398062919</v>
      </c>
      <c r="D7" s="16">
        <f>C7*3600</f>
        <v>40282.214330265087</v>
      </c>
      <c r="E7" s="26">
        <f t="shared" si="0"/>
        <v>3500</v>
      </c>
      <c r="F7" s="14">
        <v>3.5</v>
      </c>
      <c r="G7" s="14">
        <v>36</v>
      </c>
      <c r="H7" s="14">
        <v>1024.3900000000001</v>
      </c>
      <c r="I7" s="16">
        <v>39504.431630128689</v>
      </c>
      <c r="J7" s="16">
        <v>448.7825518842983</v>
      </c>
    </row>
    <row r="8" spans="1:12" ht="24.95" customHeight="1" x14ac:dyDescent="0.25">
      <c r="A8" s="5" t="s">
        <v>140</v>
      </c>
      <c r="B8" s="5"/>
      <c r="C8" s="14">
        <f>$C$7/3</f>
        <v>3.7298346602097303</v>
      </c>
      <c r="D8" s="14">
        <f>$D$7/3</f>
        <v>13427.404776755029</v>
      </c>
      <c r="E8" s="26">
        <f t="shared" si="0"/>
        <v>3500</v>
      </c>
      <c r="F8" s="14">
        <v>3.5</v>
      </c>
      <c r="G8" s="14">
        <v>36</v>
      </c>
      <c r="H8" s="14">
        <v>1024.3900000000001</v>
      </c>
      <c r="I8" s="16">
        <v>39504.431630128689</v>
      </c>
      <c r="J8" s="16">
        <v>448.7825518842983</v>
      </c>
    </row>
    <row r="9" spans="1:12" ht="24.95" customHeight="1" x14ac:dyDescent="0.25">
      <c r="A9" s="5" t="s">
        <v>141</v>
      </c>
      <c r="B9" s="5"/>
      <c r="C9" s="14">
        <f>$C$7/3</f>
        <v>3.7298346602097303</v>
      </c>
      <c r="D9" s="14">
        <f>$D$7/3</f>
        <v>13427.404776755029</v>
      </c>
      <c r="E9" s="26">
        <f t="shared" si="0"/>
        <v>3500</v>
      </c>
      <c r="F9" s="14">
        <v>3.5</v>
      </c>
      <c r="G9" s="14">
        <v>36</v>
      </c>
      <c r="H9" s="14">
        <v>1024.3900000000001</v>
      </c>
      <c r="I9" s="16">
        <v>39504.431630128689</v>
      </c>
      <c r="J9" s="16">
        <v>448.7825518842983</v>
      </c>
    </row>
    <row r="10" spans="1:12" ht="24.95" customHeight="1" x14ac:dyDescent="0.25">
      <c r="A10" s="5" t="s">
        <v>142</v>
      </c>
      <c r="B10" s="5"/>
      <c r="C10" s="14">
        <f>$C$7/3</f>
        <v>3.7298346602097303</v>
      </c>
      <c r="D10" s="14">
        <f>$D$7/3</f>
        <v>13427.404776755029</v>
      </c>
      <c r="E10" s="26">
        <f t="shared" si="0"/>
        <v>3500</v>
      </c>
      <c r="F10" s="14">
        <v>3.5</v>
      </c>
      <c r="G10" s="14">
        <v>36</v>
      </c>
      <c r="H10" s="14">
        <v>1024.3900000000001</v>
      </c>
      <c r="I10" s="16">
        <v>39504.431630128689</v>
      </c>
      <c r="J10" s="16">
        <v>448.7825518842983</v>
      </c>
    </row>
    <row r="11" spans="1:12" ht="24.95" customHeight="1" x14ac:dyDescent="0.25">
      <c r="A11" s="5" t="s">
        <v>143</v>
      </c>
      <c r="B11" s="2"/>
      <c r="C11" s="14">
        <v>9.9</v>
      </c>
      <c r="D11" s="14">
        <f>C11*3600</f>
        <v>35640</v>
      </c>
      <c r="E11" s="26">
        <f t="shared" si="0"/>
        <v>3500</v>
      </c>
      <c r="F11" s="14">
        <v>3.5</v>
      </c>
      <c r="G11" s="14">
        <v>30.09</v>
      </c>
      <c r="H11" s="14">
        <v>1024.3900000000001</v>
      </c>
      <c r="I11" s="16">
        <v>39504.431630128689</v>
      </c>
      <c r="J11" s="16">
        <v>474.06020301230092</v>
      </c>
    </row>
    <row r="12" spans="1:12" ht="24.95" customHeight="1" x14ac:dyDescent="0.25">
      <c r="A12" s="5" t="s">
        <v>144</v>
      </c>
      <c r="B12" s="2"/>
      <c r="C12" s="14">
        <v>9.9</v>
      </c>
      <c r="D12" s="14">
        <f>C12*3600</f>
        <v>35640</v>
      </c>
      <c r="E12" s="26">
        <f t="shared" si="0"/>
        <v>3500</v>
      </c>
      <c r="F12" s="14">
        <v>3.5</v>
      </c>
      <c r="G12" s="14">
        <v>36.450000000000003</v>
      </c>
      <c r="H12" s="14">
        <v>1026.4100000000001</v>
      </c>
      <c r="I12" s="16">
        <v>39504.431630128689</v>
      </c>
      <c r="J12" s="16">
        <v>474.06020301230092</v>
      </c>
    </row>
    <row r="13" spans="1:12" ht="24.95" customHeight="1" x14ac:dyDescent="0.25">
      <c r="A13" s="5" t="s">
        <v>145</v>
      </c>
      <c r="B13" s="2"/>
      <c r="C13" s="14">
        <f>$C$12/3</f>
        <v>3.3000000000000003</v>
      </c>
      <c r="D13" s="14">
        <f>$D$12/3</f>
        <v>11880</v>
      </c>
      <c r="E13" s="26">
        <f t="shared" si="0"/>
        <v>3500</v>
      </c>
      <c r="F13" s="14">
        <v>3.5</v>
      </c>
      <c r="G13" s="14">
        <v>36.450000000000003</v>
      </c>
      <c r="H13" s="14">
        <v>1026.4100000000001</v>
      </c>
      <c r="I13" s="16">
        <v>39504.431630128689</v>
      </c>
      <c r="J13" s="16">
        <v>474.06020301230092</v>
      </c>
    </row>
    <row r="14" spans="1:12" ht="24.95" customHeight="1" x14ac:dyDescent="0.25">
      <c r="A14" s="5" t="s">
        <v>146</v>
      </c>
      <c r="B14" s="2"/>
      <c r="C14" s="14">
        <f>$C$12/3</f>
        <v>3.3000000000000003</v>
      </c>
      <c r="D14" s="14">
        <f>$D$12/3</f>
        <v>11880</v>
      </c>
      <c r="E14" s="26">
        <f t="shared" si="0"/>
        <v>3500</v>
      </c>
      <c r="F14" s="14">
        <v>3.5</v>
      </c>
      <c r="G14" s="14">
        <v>36.450000000000003</v>
      </c>
      <c r="H14" s="14">
        <v>1026.4100000000001</v>
      </c>
      <c r="I14" s="16">
        <v>39504.431630128689</v>
      </c>
      <c r="J14" s="16">
        <v>474.06020301230092</v>
      </c>
    </row>
    <row r="15" spans="1:12" ht="24.95" customHeight="1" x14ac:dyDescent="0.25">
      <c r="A15" s="5" t="s">
        <v>147</v>
      </c>
      <c r="B15" s="2"/>
      <c r="C15" s="14">
        <f>$C$12/3</f>
        <v>3.3000000000000003</v>
      </c>
      <c r="D15" s="14">
        <f>$D$12/3</f>
        <v>11880</v>
      </c>
      <c r="E15" s="26">
        <f t="shared" si="0"/>
        <v>3500</v>
      </c>
      <c r="F15" s="14">
        <v>3.5</v>
      </c>
      <c r="G15" s="14">
        <v>36.450000000000003</v>
      </c>
      <c r="H15" s="14">
        <v>1026.4100000000001</v>
      </c>
      <c r="I15" s="16">
        <v>39504.431630128689</v>
      </c>
      <c r="J15" s="16">
        <v>474.06020301230092</v>
      </c>
    </row>
    <row r="16" spans="1:12" ht="24.95" customHeight="1" x14ac:dyDescent="0.25">
      <c r="A16" s="5" t="s">
        <v>148</v>
      </c>
      <c r="B16" s="2"/>
      <c r="C16" s="14">
        <v>11</v>
      </c>
      <c r="D16" s="16">
        <f>C16*3600</f>
        <v>39600</v>
      </c>
      <c r="E16" s="26">
        <f t="shared" si="0"/>
        <v>3500</v>
      </c>
      <c r="F16" s="14">
        <v>3.5</v>
      </c>
      <c r="G16" s="14">
        <v>30.08630369228905</v>
      </c>
      <c r="H16" s="14">
        <v>1024.2273109858399</v>
      </c>
      <c r="I16" s="16">
        <v>39504.431630128689</v>
      </c>
      <c r="J16" s="16">
        <v>472.25188649250049</v>
      </c>
    </row>
    <row r="17" spans="1:10" ht="24.95" customHeight="1" x14ac:dyDescent="0.25">
      <c r="A17" s="5" t="s">
        <v>149</v>
      </c>
      <c r="B17" s="5"/>
      <c r="C17" s="14">
        <v>11</v>
      </c>
      <c r="D17" s="16">
        <f>C17*3600</f>
        <v>39600</v>
      </c>
      <c r="E17" s="26">
        <f t="shared" si="0"/>
        <v>3500</v>
      </c>
      <c r="F17" s="14">
        <v>3.5</v>
      </c>
      <c r="G17" s="14">
        <v>33.909379761997002</v>
      </c>
      <c r="H17" s="14">
        <v>1026.40800440677</v>
      </c>
      <c r="I17" s="16">
        <v>39504.431630128689</v>
      </c>
      <c r="J17" s="16">
        <v>463.96297680160018</v>
      </c>
    </row>
    <row r="18" spans="1:10" ht="24.95" customHeight="1" x14ac:dyDescent="0.25">
      <c r="A18" s="5" t="s">
        <v>150</v>
      </c>
      <c r="B18" s="2"/>
      <c r="C18" s="14">
        <f>$C$17/3</f>
        <v>3.6666666666666665</v>
      </c>
      <c r="D18" s="14">
        <f>$D$17/3</f>
        <v>13200</v>
      </c>
      <c r="E18" s="26">
        <f t="shared" si="0"/>
        <v>3500</v>
      </c>
      <c r="F18" s="14">
        <v>3.5</v>
      </c>
      <c r="G18" s="14">
        <v>33.909379761997002</v>
      </c>
      <c r="H18" s="14">
        <v>1026.40800440677</v>
      </c>
      <c r="I18" s="16">
        <v>39504.431630128689</v>
      </c>
      <c r="J18" s="16">
        <v>463.96297680160018</v>
      </c>
    </row>
    <row r="19" spans="1:10" ht="24.95" customHeight="1" x14ac:dyDescent="0.25">
      <c r="A19" s="5" t="s">
        <v>151</v>
      </c>
      <c r="B19" s="2"/>
      <c r="C19" s="14">
        <f>$C$17/3</f>
        <v>3.6666666666666665</v>
      </c>
      <c r="D19" s="14">
        <f>$D$17/3</f>
        <v>13200</v>
      </c>
      <c r="E19" s="26">
        <f t="shared" si="0"/>
        <v>3500</v>
      </c>
      <c r="F19" s="14">
        <v>3.5</v>
      </c>
      <c r="G19" s="14">
        <v>33.909379761997002</v>
      </c>
      <c r="H19" s="14">
        <v>1026.40800440677</v>
      </c>
      <c r="I19" s="16">
        <v>39504.431630128689</v>
      </c>
      <c r="J19" s="16">
        <v>463.96297680160018</v>
      </c>
    </row>
    <row r="20" spans="1:10" ht="24.95" customHeight="1" x14ac:dyDescent="0.25">
      <c r="A20" s="5" t="s">
        <v>152</v>
      </c>
      <c r="B20" s="2"/>
      <c r="C20" s="14">
        <f>$C$17/3</f>
        <v>3.6666666666666665</v>
      </c>
      <c r="D20" s="14">
        <f>$D$17/3</f>
        <v>13200</v>
      </c>
      <c r="E20" s="26">
        <f t="shared" si="0"/>
        <v>3500</v>
      </c>
      <c r="F20" s="14">
        <v>3.5</v>
      </c>
      <c r="G20" s="14">
        <v>33.909379761997002</v>
      </c>
      <c r="H20" s="14">
        <v>1026.40800440677</v>
      </c>
      <c r="I20" s="16">
        <v>39504.431630128689</v>
      </c>
      <c r="J20" s="16">
        <v>463.96297680160018</v>
      </c>
    </row>
    <row r="21" spans="1:10" ht="24.95" customHeight="1" x14ac:dyDescent="0.25">
      <c r="A21" s="83" t="s">
        <v>71</v>
      </c>
      <c r="B21" s="84"/>
      <c r="C21" s="85"/>
      <c r="D21" s="86"/>
      <c r="E21" s="86"/>
      <c r="F21" s="86"/>
      <c r="G21" s="86"/>
      <c r="H21" s="86"/>
      <c r="I21" s="86"/>
      <c r="J21" s="87"/>
    </row>
    <row r="22" spans="1:10" ht="24.95" customHeight="1" x14ac:dyDescent="0.25">
      <c r="A22" s="2" t="s">
        <v>153</v>
      </c>
      <c r="B22" s="2" t="s">
        <v>154</v>
      </c>
      <c r="C22" s="18">
        <f t="shared" ref="C22:C30" si="1">D22/3600</f>
        <v>4.07</v>
      </c>
      <c r="D22" s="16">
        <v>14652</v>
      </c>
      <c r="E22" s="19">
        <v>259.39999999999998</v>
      </c>
      <c r="F22" s="6"/>
      <c r="G22" s="19">
        <v>66.55</v>
      </c>
      <c r="H22" s="6">
        <v>1043.56</v>
      </c>
      <c r="I22" s="6">
        <v>63600</v>
      </c>
      <c r="J22" s="19">
        <v>785.32514379310123</v>
      </c>
    </row>
    <row r="23" spans="1:10" ht="24.95" customHeight="1" x14ac:dyDescent="0.25">
      <c r="A23" s="2" t="s">
        <v>155</v>
      </c>
      <c r="B23" s="2" t="s">
        <v>156</v>
      </c>
      <c r="C23" s="18">
        <f t="shared" si="1"/>
        <v>8.33</v>
      </c>
      <c r="D23" s="16">
        <v>29988</v>
      </c>
      <c r="E23" s="19">
        <v>219.6</v>
      </c>
      <c r="F23" s="6"/>
      <c r="G23" s="19">
        <v>62.81</v>
      </c>
      <c r="H23" s="6">
        <v>1042.53</v>
      </c>
      <c r="I23" s="6">
        <v>62100</v>
      </c>
      <c r="J23" s="19">
        <v>758.99351896660119</v>
      </c>
    </row>
    <row r="24" spans="1:10" ht="24.95" customHeight="1" x14ac:dyDescent="0.25">
      <c r="A24" s="2" t="s">
        <v>157</v>
      </c>
      <c r="B24" s="2" t="s">
        <v>158</v>
      </c>
      <c r="C24" s="18">
        <f t="shared" si="1"/>
        <v>12.73</v>
      </c>
      <c r="D24" s="16">
        <v>45828</v>
      </c>
      <c r="E24" s="19">
        <v>188</v>
      </c>
      <c r="F24" s="6"/>
      <c r="G24" s="19">
        <v>59.4</v>
      </c>
      <c r="H24" s="6">
        <v>1041.71</v>
      </c>
      <c r="I24" s="6">
        <v>60900</v>
      </c>
      <c r="J24" s="19">
        <v>736.64506461699966</v>
      </c>
    </row>
    <row r="25" spans="1:10" ht="24.95" customHeight="1" x14ac:dyDescent="0.25">
      <c r="A25" s="2" t="s">
        <v>159</v>
      </c>
      <c r="B25" s="2" t="s">
        <v>160</v>
      </c>
      <c r="C25" s="18">
        <f t="shared" si="1"/>
        <v>17.260000000000002</v>
      </c>
      <c r="D25" s="16">
        <v>62136</v>
      </c>
      <c r="E25" s="19">
        <v>161.80000000000001</v>
      </c>
      <c r="F25" s="6"/>
      <c r="G25" s="19">
        <v>56.2</v>
      </c>
      <c r="H25" s="6">
        <v>1041.51</v>
      </c>
      <c r="I25" s="6">
        <v>60600</v>
      </c>
      <c r="J25" s="19">
        <v>721.7469383964999</v>
      </c>
    </row>
    <row r="26" spans="1:10" ht="24.95" customHeight="1" x14ac:dyDescent="0.25">
      <c r="A26" s="2" t="s">
        <v>161</v>
      </c>
      <c r="B26" s="2" t="s">
        <v>162</v>
      </c>
      <c r="C26" s="18">
        <f t="shared" si="1"/>
        <v>21.81</v>
      </c>
      <c r="D26" s="16">
        <v>78516</v>
      </c>
      <c r="E26" s="19">
        <v>139.5</v>
      </c>
      <c r="F26" s="6"/>
      <c r="G26" s="19">
        <v>53.1</v>
      </c>
      <c r="H26" s="6">
        <v>1041.3699999999999</v>
      </c>
      <c r="I26" s="6">
        <v>60400</v>
      </c>
      <c r="J26" s="19">
        <v>707.63335330650079</v>
      </c>
    </row>
    <row r="27" spans="1:10" ht="24.95" customHeight="1" x14ac:dyDescent="0.25">
      <c r="A27" s="2" t="s">
        <v>163</v>
      </c>
      <c r="B27" s="2" t="s">
        <v>164</v>
      </c>
      <c r="C27" s="18">
        <f t="shared" si="1"/>
        <v>26.34</v>
      </c>
      <c r="D27" s="16">
        <v>94824</v>
      </c>
      <c r="E27" s="19">
        <v>119.8</v>
      </c>
      <c r="F27" s="6"/>
      <c r="G27" s="19">
        <v>50</v>
      </c>
      <c r="H27" s="6">
        <v>1041.3</v>
      </c>
      <c r="I27" s="6">
        <v>60300</v>
      </c>
      <c r="J27" s="19">
        <v>694.70949858580025</v>
      </c>
    </row>
    <row r="28" spans="1:10" ht="24.95" customHeight="1" x14ac:dyDescent="0.25">
      <c r="A28" s="2" t="s">
        <v>165</v>
      </c>
      <c r="B28" s="2" t="s">
        <v>166</v>
      </c>
      <c r="C28" s="18">
        <f t="shared" si="1"/>
        <v>31.02</v>
      </c>
      <c r="D28" s="16">
        <v>111672</v>
      </c>
      <c r="E28" s="19">
        <v>101.7</v>
      </c>
      <c r="F28" s="6"/>
      <c r="G28" s="19">
        <v>46.72</v>
      </c>
      <c r="H28" s="6">
        <v>1041.1600000000001</v>
      </c>
      <c r="I28" s="6">
        <v>60100</v>
      </c>
      <c r="J28" s="19">
        <v>680.44775523130011</v>
      </c>
    </row>
    <row r="29" spans="1:10" ht="24.95" customHeight="1" x14ac:dyDescent="0.25">
      <c r="A29" s="2" t="s">
        <v>167</v>
      </c>
      <c r="B29" s="2" t="s">
        <v>168</v>
      </c>
      <c r="C29" s="18">
        <f t="shared" si="1"/>
        <v>35.549999999999997</v>
      </c>
      <c r="D29" s="16">
        <v>127980</v>
      </c>
      <c r="E29" s="19">
        <v>94.6</v>
      </c>
      <c r="F29" s="6"/>
      <c r="G29" s="19">
        <v>43.14</v>
      </c>
      <c r="H29" s="6">
        <v>1041.23</v>
      </c>
      <c r="I29" s="6">
        <v>60200</v>
      </c>
      <c r="J29" s="19">
        <v>667.4554415213006</v>
      </c>
    </row>
    <row r="30" spans="1:10" ht="24.95" customHeight="1" x14ac:dyDescent="0.25">
      <c r="A30" s="2" t="s">
        <v>169</v>
      </c>
      <c r="B30" s="2" t="s">
        <v>170</v>
      </c>
      <c r="C30" s="18">
        <f t="shared" si="1"/>
        <v>39.83</v>
      </c>
      <c r="D30" s="16">
        <v>143388</v>
      </c>
      <c r="E30" s="19">
        <v>68</v>
      </c>
      <c r="F30" s="6"/>
      <c r="G30" s="19">
        <v>39</v>
      </c>
      <c r="H30" s="6">
        <v>1041.51</v>
      </c>
      <c r="I30" s="6">
        <v>60600</v>
      </c>
      <c r="J30" s="19">
        <v>655.18614919399988</v>
      </c>
    </row>
    <row r="31" spans="1:10" ht="24.95" customHeight="1" x14ac:dyDescent="0.25">
      <c r="A31" s="2" t="s">
        <v>171</v>
      </c>
      <c r="B31" s="2" t="s">
        <v>172</v>
      </c>
      <c r="C31" s="14">
        <v>39.83351434241419</v>
      </c>
      <c r="D31" s="16">
        <f>C31*3600</f>
        <v>143400.65163269109</v>
      </c>
      <c r="E31" s="20">
        <f t="shared" ref="E31:E44" si="2">F31*1000</f>
        <v>2500</v>
      </c>
      <c r="F31" s="8">
        <v>2.5</v>
      </c>
      <c r="G31" s="8">
        <v>39.070967475491052</v>
      </c>
      <c r="H31" s="8">
        <v>1039.7241817430499</v>
      </c>
      <c r="I31" s="6">
        <f>I30</f>
        <v>60600</v>
      </c>
      <c r="J31" s="19">
        <v>655.46020224379936</v>
      </c>
    </row>
    <row r="32" spans="1:10" ht="24.95" customHeight="1" x14ac:dyDescent="0.25">
      <c r="A32" s="2" t="s">
        <v>173</v>
      </c>
      <c r="B32" s="2"/>
      <c r="C32" s="14" t="s">
        <v>174</v>
      </c>
      <c r="D32" s="16" t="e">
        <f>C32*3600</f>
        <v>#VALUE!</v>
      </c>
      <c r="E32" s="20">
        <f t="shared" si="2"/>
        <v>2500</v>
      </c>
      <c r="F32" s="8">
        <v>2.5</v>
      </c>
      <c r="G32" s="8">
        <v>37.447389715745032</v>
      </c>
      <c r="H32" s="8">
        <v>1040.3578941872499</v>
      </c>
      <c r="I32" s="6"/>
      <c r="J32" s="19">
        <v>649.1781476362994</v>
      </c>
    </row>
    <row r="33" spans="1:10" ht="24.95" customHeight="1" x14ac:dyDescent="0.25">
      <c r="A33" s="2" t="s">
        <v>175</v>
      </c>
      <c r="B33" s="2"/>
      <c r="C33" s="14" t="s">
        <v>174</v>
      </c>
      <c r="D33" s="16" t="e">
        <f>C33*3600</f>
        <v>#VALUE!</v>
      </c>
      <c r="E33" s="20">
        <f t="shared" si="2"/>
        <v>2500</v>
      </c>
      <c r="F33" s="8">
        <v>2.5</v>
      </c>
      <c r="G33" s="8">
        <v>37.447389715745032</v>
      </c>
      <c r="H33" s="8">
        <v>1040.3578941872499</v>
      </c>
      <c r="I33" s="6"/>
      <c r="J33" s="19">
        <v>649.1781476362994</v>
      </c>
    </row>
    <row r="34" spans="1:10" ht="24.95" customHeight="1" x14ac:dyDescent="0.25">
      <c r="A34" s="2" t="s">
        <v>176</v>
      </c>
      <c r="B34" s="2"/>
      <c r="C34" s="14">
        <v>18.925000000000001</v>
      </c>
      <c r="D34" s="16">
        <f>C34*3600</f>
        <v>68130</v>
      </c>
      <c r="E34" s="20">
        <f t="shared" si="2"/>
        <v>2500</v>
      </c>
      <c r="F34" s="8">
        <v>2.5</v>
      </c>
      <c r="G34" s="8">
        <v>37.447389715745032</v>
      </c>
      <c r="H34" s="8">
        <v>1040.3578941872499</v>
      </c>
      <c r="I34" s="6">
        <v>60600</v>
      </c>
      <c r="J34" s="19">
        <v>649.1781476362994</v>
      </c>
    </row>
    <row r="35" spans="1:10" ht="24.95" customHeight="1" x14ac:dyDescent="0.25">
      <c r="A35" s="2" t="s">
        <v>177</v>
      </c>
      <c r="B35" s="2"/>
      <c r="C35" s="14">
        <v>18.925000000000001</v>
      </c>
      <c r="D35" s="16">
        <f>C35*3600</f>
        <v>68130</v>
      </c>
      <c r="E35" s="20">
        <f t="shared" si="2"/>
        <v>2500</v>
      </c>
      <c r="F35" s="8">
        <v>2.5</v>
      </c>
      <c r="G35" s="8">
        <v>37.447389715745032</v>
      </c>
      <c r="H35" s="8">
        <v>1040.3578941872499</v>
      </c>
      <c r="I35" s="6">
        <v>60600</v>
      </c>
      <c r="J35" s="19">
        <v>649.1781476362994</v>
      </c>
    </row>
    <row r="36" spans="1:10" ht="24.95" customHeight="1" x14ac:dyDescent="0.25">
      <c r="A36" s="2" t="s">
        <v>178</v>
      </c>
      <c r="B36" s="2" t="s">
        <v>179</v>
      </c>
      <c r="C36" s="14">
        <v>1.84</v>
      </c>
      <c r="D36" s="16">
        <f t="shared" ref="D36:D44" si="3">C36*60*60</f>
        <v>6624</v>
      </c>
      <c r="E36" s="20">
        <f t="shared" si="2"/>
        <v>2500</v>
      </c>
      <c r="F36" s="8">
        <v>2.5</v>
      </c>
      <c r="G36" s="8">
        <v>37.447389715745032</v>
      </c>
      <c r="H36" s="8">
        <v>1040.3578941872499</v>
      </c>
      <c r="I36" s="6">
        <v>60600</v>
      </c>
      <c r="J36" s="19">
        <v>649.1781476362994</v>
      </c>
    </row>
    <row r="37" spans="1:10" ht="24.95" customHeight="1" x14ac:dyDescent="0.25">
      <c r="A37" s="2" t="s">
        <v>180</v>
      </c>
      <c r="B37" s="2" t="s">
        <v>181</v>
      </c>
      <c r="C37" s="14">
        <v>1.84</v>
      </c>
      <c r="D37" s="16">
        <f t="shared" si="3"/>
        <v>6624</v>
      </c>
      <c r="E37" s="20">
        <f t="shared" si="2"/>
        <v>2500</v>
      </c>
      <c r="F37" s="8">
        <v>2.5</v>
      </c>
      <c r="G37" s="8">
        <v>37.447389715745032</v>
      </c>
      <c r="H37" s="8">
        <v>1040.3578941872499</v>
      </c>
      <c r="I37" s="6">
        <v>60600</v>
      </c>
      <c r="J37" s="19">
        <v>649.1781476362994</v>
      </c>
    </row>
    <row r="38" spans="1:10" ht="24.95" customHeight="1" x14ac:dyDescent="0.25">
      <c r="A38" s="2" t="s">
        <v>182</v>
      </c>
      <c r="B38" s="2" t="s">
        <v>183</v>
      </c>
      <c r="C38" s="14">
        <v>1.83</v>
      </c>
      <c r="D38" s="16">
        <f t="shared" si="3"/>
        <v>6588.0000000000009</v>
      </c>
      <c r="E38" s="20">
        <f t="shared" si="2"/>
        <v>2500</v>
      </c>
      <c r="F38" s="8">
        <v>2.5</v>
      </c>
      <c r="G38" s="8">
        <v>37.447389715745032</v>
      </c>
      <c r="H38" s="8">
        <v>1040.3578941872499</v>
      </c>
      <c r="I38" s="6">
        <v>60600</v>
      </c>
      <c r="J38" s="19">
        <v>649.1781476362994</v>
      </c>
    </row>
    <row r="39" spans="1:10" ht="24.95" customHeight="1" x14ac:dyDescent="0.25">
      <c r="A39" s="2" t="s">
        <v>184</v>
      </c>
      <c r="B39" s="2" t="s">
        <v>185</v>
      </c>
      <c r="C39" s="14">
        <v>2.31</v>
      </c>
      <c r="D39" s="16">
        <f t="shared" si="3"/>
        <v>8316</v>
      </c>
      <c r="E39" s="20">
        <f t="shared" si="2"/>
        <v>2500</v>
      </c>
      <c r="F39" s="8">
        <v>2.5</v>
      </c>
      <c r="G39" s="8">
        <v>37.447389715745032</v>
      </c>
      <c r="H39" s="8">
        <v>1040.3578941872499</v>
      </c>
      <c r="I39" s="6">
        <v>60600</v>
      </c>
      <c r="J39" s="19">
        <v>649.1781476362994</v>
      </c>
    </row>
    <row r="40" spans="1:10" ht="24.95" customHeight="1" x14ac:dyDescent="0.25">
      <c r="A40" s="2" t="s">
        <v>186</v>
      </c>
      <c r="B40" s="2" t="s">
        <v>187</v>
      </c>
      <c r="C40" s="14">
        <v>2.31</v>
      </c>
      <c r="D40" s="16">
        <f t="shared" si="3"/>
        <v>8316</v>
      </c>
      <c r="E40" s="20">
        <f t="shared" si="2"/>
        <v>2500</v>
      </c>
      <c r="F40" s="8">
        <v>2.5</v>
      </c>
      <c r="G40" s="8">
        <v>37.447389715745032</v>
      </c>
      <c r="H40" s="8">
        <v>1040.3578941872499</v>
      </c>
      <c r="I40" s="6">
        <v>60600</v>
      </c>
      <c r="J40" s="19">
        <v>649.1781476362994</v>
      </c>
    </row>
    <row r="41" spans="1:10" ht="24.95" customHeight="1" x14ac:dyDescent="0.25">
      <c r="A41" s="2" t="s">
        <v>188</v>
      </c>
      <c r="B41" s="2" t="s">
        <v>189</v>
      </c>
      <c r="C41" s="14">
        <v>2.31</v>
      </c>
      <c r="D41" s="16">
        <f t="shared" si="3"/>
        <v>8316</v>
      </c>
      <c r="E41" s="20">
        <f t="shared" si="2"/>
        <v>2500</v>
      </c>
      <c r="F41" s="8">
        <v>2.5</v>
      </c>
      <c r="G41" s="8">
        <v>37.447389715745032</v>
      </c>
      <c r="H41" s="8">
        <v>1040.3578941872499</v>
      </c>
      <c r="I41" s="6">
        <v>60600</v>
      </c>
      <c r="J41" s="19">
        <v>649.1781476362994</v>
      </c>
    </row>
    <row r="42" spans="1:10" ht="24.95" customHeight="1" x14ac:dyDescent="0.25">
      <c r="A42" s="2" t="s">
        <v>190</v>
      </c>
      <c r="B42" s="2" t="s">
        <v>191</v>
      </c>
      <c r="C42" s="14">
        <v>2.16</v>
      </c>
      <c r="D42" s="16">
        <f t="shared" si="3"/>
        <v>7776.0000000000018</v>
      </c>
      <c r="E42" s="20">
        <f t="shared" si="2"/>
        <v>2500</v>
      </c>
      <c r="F42" s="8">
        <v>2.5</v>
      </c>
      <c r="G42" s="8">
        <v>37.447389715745032</v>
      </c>
      <c r="H42" s="8">
        <v>1040.3578941872499</v>
      </c>
      <c r="I42" s="6">
        <v>60600</v>
      </c>
      <c r="J42" s="19">
        <v>649.1781476362994</v>
      </c>
    </row>
    <row r="43" spans="1:10" ht="24.95" customHeight="1" x14ac:dyDescent="0.25">
      <c r="A43" s="2" t="s">
        <v>192</v>
      </c>
      <c r="B43" s="2" t="s">
        <v>193</v>
      </c>
      <c r="C43" s="14">
        <v>2.16</v>
      </c>
      <c r="D43" s="16">
        <f t="shared" si="3"/>
        <v>7776.0000000000018</v>
      </c>
      <c r="E43" s="20">
        <f t="shared" si="2"/>
        <v>2500</v>
      </c>
      <c r="F43" s="8">
        <v>2.5</v>
      </c>
      <c r="G43" s="8">
        <v>37.447389715745032</v>
      </c>
      <c r="H43" s="8">
        <v>1040.3578941872499</v>
      </c>
      <c r="I43" s="6">
        <v>60600</v>
      </c>
      <c r="J43" s="19">
        <v>649.1781476362994</v>
      </c>
    </row>
    <row r="44" spans="1:10" ht="24.95" customHeight="1" x14ac:dyDescent="0.25">
      <c r="A44" s="2" t="s">
        <v>194</v>
      </c>
      <c r="B44" s="2" t="s">
        <v>195</v>
      </c>
      <c r="C44" s="14">
        <v>2.16</v>
      </c>
      <c r="D44" s="16">
        <f t="shared" si="3"/>
        <v>7776.0000000000018</v>
      </c>
      <c r="E44" s="20">
        <f t="shared" si="2"/>
        <v>2500</v>
      </c>
      <c r="F44" s="8">
        <v>2.5</v>
      </c>
      <c r="G44" s="8">
        <v>37.447389715745032</v>
      </c>
      <c r="H44" s="8">
        <v>1040.3578941872499</v>
      </c>
      <c r="I44" s="6">
        <v>60600</v>
      </c>
      <c r="J44" s="19">
        <v>649.1781476362994</v>
      </c>
    </row>
    <row r="45" spans="1:10" ht="24.95" customHeight="1" x14ac:dyDescent="0.25">
      <c r="A45" s="83" t="s">
        <v>74</v>
      </c>
      <c r="B45" s="84"/>
      <c r="C45" s="85"/>
      <c r="D45" s="86"/>
      <c r="E45" s="86"/>
      <c r="F45" s="86"/>
      <c r="G45" s="86"/>
      <c r="H45" s="86"/>
      <c r="I45" s="86"/>
      <c r="J45" s="87"/>
    </row>
    <row r="46" spans="1:10" ht="24.95" customHeight="1" x14ac:dyDescent="0.25">
      <c r="A46" s="28" t="s">
        <v>196</v>
      </c>
      <c r="B46" s="2"/>
      <c r="C46" s="17">
        <f t="shared" ref="C46:C54" si="4">D46/3600</f>
        <v>1.88</v>
      </c>
      <c r="D46" s="2">
        <v>6768</v>
      </c>
      <c r="E46" s="2">
        <v>320.5</v>
      </c>
      <c r="F46" s="2"/>
      <c r="G46" s="2">
        <v>70.59</v>
      </c>
      <c r="H46" s="8">
        <v>988.02800000000002</v>
      </c>
      <c r="I46" s="2" t="s">
        <v>197</v>
      </c>
      <c r="J46" s="2">
        <v>412.80000000000109</v>
      </c>
    </row>
    <row r="47" spans="1:10" ht="24.95" customHeight="1" x14ac:dyDescent="0.25">
      <c r="A47" s="28" t="s">
        <v>198</v>
      </c>
      <c r="B47" s="2"/>
      <c r="C47" s="17">
        <f t="shared" si="4"/>
        <v>3.38</v>
      </c>
      <c r="D47" s="2">
        <v>12168</v>
      </c>
      <c r="E47" s="2">
        <v>259.39999999999998</v>
      </c>
      <c r="F47" s="2"/>
      <c r="G47" s="2">
        <v>65.739999999999995</v>
      </c>
      <c r="H47" s="8">
        <v>989.70799999999997</v>
      </c>
      <c r="I47" s="2" t="s">
        <v>197</v>
      </c>
      <c r="J47" s="2">
        <v>331.60000000000042</v>
      </c>
    </row>
    <row r="48" spans="1:10" ht="24.95" customHeight="1" x14ac:dyDescent="0.25">
      <c r="A48" s="28" t="s">
        <v>199</v>
      </c>
      <c r="B48" s="2"/>
      <c r="C48" s="17">
        <f t="shared" si="4"/>
        <v>4.68</v>
      </c>
      <c r="D48" s="2">
        <v>16848</v>
      </c>
      <c r="E48" s="2">
        <v>219.6</v>
      </c>
      <c r="F48" s="2"/>
      <c r="G48" s="2">
        <v>62.02</v>
      </c>
      <c r="H48" s="8">
        <v>990.91099999999994</v>
      </c>
      <c r="I48" s="2" t="s">
        <v>197</v>
      </c>
      <c r="J48" s="2">
        <v>295.70000000000073</v>
      </c>
    </row>
    <row r="49" spans="1:10" ht="24.95" customHeight="1" x14ac:dyDescent="0.25">
      <c r="A49" s="28" t="s">
        <v>200</v>
      </c>
      <c r="B49" s="2"/>
      <c r="C49" s="17">
        <f t="shared" si="4"/>
        <v>5.84</v>
      </c>
      <c r="D49" s="2">
        <v>21024</v>
      </c>
      <c r="E49" s="2">
        <v>188</v>
      </c>
      <c r="F49" s="2"/>
      <c r="G49" s="2">
        <v>58.62</v>
      </c>
      <c r="H49" s="8">
        <v>991.94500000000005</v>
      </c>
      <c r="I49" s="2" t="s">
        <v>197</v>
      </c>
      <c r="J49" s="2">
        <v>271.70000000000073</v>
      </c>
    </row>
    <row r="50" spans="1:10" ht="24.95" customHeight="1" x14ac:dyDescent="0.25">
      <c r="A50" s="28" t="s">
        <v>201</v>
      </c>
      <c r="B50" s="2"/>
      <c r="C50" s="17">
        <f t="shared" si="4"/>
        <v>6.93</v>
      </c>
      <c r="D50" s="2">
        <v>24948</v>
      </c>
      <c r="E50" s="2">
        <v>161.80000000000001</v>
      </c>
      <c r="F50" s="2"/>
      <c r="G50" s="2">
        <v>55.43</v>
      </c>
      <c r="H50" s="8">
        <v>992.85799999999995</v>
      </c>
      <c r="I50" s="2" t="s">
        <v>197</v>
      </c>
      <c r="J50" s="2">
        <v>253</v>
      </c>
    </row>
    <row r="51" spans="1:10" ht="24.95" customHeight="1" x14ac:dyDescent="0.25">
      <c r="A51" s="28" t="s">
        <v>202</v>
      </c>
      <c r="B51" s="2"/>
      <c r="C51" s="17">
        <f t="shared" si="4"/>
        <v>7.98</v>
      </c>
      <c r="D51" s="2">
        <v>28728</v>
      </c>
      <c r="E51" s="2">
        <v>139.5</v>
      </c>
      <c r="F51" s="2"/>
      <c r="G51" s="2">
        <v>52.33</v>
      </c>
      <c r="H51" s="8">
        <v>993.69299999999998</v>
      </c>
      <c r="I51" s="2" t="s">
        <v>197</v>
      </c>
      <c r="J51" s="2">
        <v>237.10000000000039</v>
      </c>
    </row>
    <row r="52" spans="1:10" ht="24.95" customHeight="1" x14ac:dyDescent="0.25">
      <c r="A52" s="28" t="s">
        <v>203</v>
      </c>
      <c r="B52" s="2"/>
      <c r="C52" s="17">
        <f t="shared" si="4"/>
        <v>9.06</v>
      </c>
      <c r="D52" s="2">
        <v>32616</v>
      </c>
      <c r="E52" s="2">
        <v>119.8</v>
      </c>
      <c r="F52" s="2"/>
      <c r="G52" s="2">
        <v>49.23</v>
      </c>
      <c r="H52" s="8">
        <v>994.476</v>
      </c>
      <c r="I52" s="2" t="s">
        <v>197</v>
      </c>
      <c r="J52" s="2">
        <v>222.60000000000039</v>
      </c>
    </row>
    <row r="53" spans="1:10" ht="24.95" customHeight="1" x14ac:dyDescent="0.25">
      <c r="A53" s="28" t="s">
        <v>204</v>
      </c>
      <c r="B53" s="2"/>
      <c r="C53" s="17">
        <f t="shared" si="4"/>
        <v>10.210000000000001</v>
      </c>
      <c r="D53" s="2">
        <v>36756</v>
      </c>
      <c r="E53" s="2">
        <v>101.7</v>
      </c>
      <c r="F53" s="2"/>
      <c r="G53" s="2">
        <v>45.97</v>
      </c>
      <c r="H53" s="8">
        <v>995.24400000000003</v>
      </c>
      <c r="I53" s="2" t="s">
        <v>197</v>
      </c>
      <c r="J53" s="2">
        <v>208.2000000000007</v>
      </c>
    </row>
    <row r="54" spans="1:10" ht="24.95" customHeight="1" x14ac:dyDescent="0.25">
      <c r="A54" s="28" t="s">
        <v>205</v>
      </c>
      <c r="B54" s="2"/>
      <c r="C54" s="17">
        <f t="shared" si="4"/>
        <v>11.51</v>
      </c>
      <c r="D54" s="2">
        <v>41436</v>
      </c>
      <c r="E54" s="2">
        <v>84.6</v>
      </c>
      <c r="F54" s="2"/>
      <c r="G54" s="8">
        <f>((42.405)*1.42+(10.09*42.4044))/(C54)</f>
        <v>42.404474022589056</v>
      </c>
      <c r="H54" s="8">
        <v>996.01900000000001</v>
      </c>
      <c r="I54" s="2" t="s">
        <v>197</v>
      </c>
      <c r="J54" s="2">
        <v>193.3187662901837</v>
      </c>
    </row>
    <row r="55" spans="1:10" ht="24.95" customHeight="1" x14ac:dyDescent="0.25">
      <c r="A55" s="2" t="s">
        <v>206</v>
      </c>
      <c r="B55" s="2"/>
      <c r="C55" s="14">
        <v>11.58</v>
      </c>
      <c r="D55" s="10">
        <f>C55*3600</f>
        <v>41688</v>
      </c>
      <c r="E55" s="8">
        <f>F55*1000</f>
        <v>1500</v>
      </c>
      <c r="F55" s="8">
        <v>1.5</v>
      </c>
      <c r="G55" s="8">
        <v>42.493588034626043</v>
      </c>
      <c r="H55" s="8">
        <v>991.33398190206196</v>
      </c>
      <c r="I55" s="2" t="s">
        <v>197</v>
      </c>
      <c r="J55" s="2">
        <v>177.86965767470059</v>
      </c>
    </row>
    <row r="56" spans="1:10" ht="24.95" customHeight="1" x14ac:dyDescent="0.25">
      <c r="A56" s="2" t="s">
        <v>207</v>
      </c>
      <c r="B56" s="2"/>
      <c r="C56" s="14">
        <v>11.58</v>
      </c>
      <c r="D56" s="2">
        <v>41688</v>
      </c>
      <c r="E56" s="2"/>
      <c r="F56" s="2"/>
      <c r="G56" s="2">
        <v>42.493588034626043</v>
      </c>
      <c r="H56" s="2">
        <v>991.33398190206196</v>
      </c>
      <c r="I56" s="2" t="s">
        <v>197</v>
      </c>
      <c r="J56" s="2">
        <v>177.86965767470059</v>
      </c>
    </row>
    <row r="57" spans="1:10" ht="24.95" customHeight="1" x14ac:dyDescent="0.25">
      <c r="A57" s="2" t="s">
        <v>208</v>
      </c>
      <c r="B57" s="2"/>
      <c r="C57" s="14">
        <v>11.58</v>
      </c>
      <c r="D57" s="2">
        <v>41688</v>
      </c>
      <c r="E57" s="2"/>
      <c r="F57" s="2"/>
      <c r="G57" s="2"/>
      <c r="H57" s="2">
        <v>991.33398190206196</v>
      </c>
      <c r="I57" s="2" t="s">
        <v>197</v>
      </c>
      <c r="J57" s="2">
        <v>177.86965767470059</v>
      </c>
    </row>
    <row r="58" spans="1:10" ht="24.95" customHeight="1" x14ac:dyDescent="0.25">
      <c r="A58" s="2" t="s">
        <v>209</v>
      </c>
      <c r="B58" s="30" t="s">
        <v>210</v>
      </c>
      <c r="C58" s="31">
        <v>6.94</v>
      </c>
      <c r="D58" s="2">
        <f t="shared" ref="D58:D63" si="5">C58*3600</f>
        <v>24984</v>
      </c>
      <c r="E58" s="30"/>
      <c r="F58" s="30"/>
      <c r="G58" s="32">
        <v>30</v>
      </c>
      <c r="H58" s="30">
        <v>996.01900000000001</v>
      </c>
      <c r="I58" s="30"/>
      <c r="J58" s="32">
        <v>125.91</v>
      </c>
    </row>
    <row r="59" spans="1:10" ht="24.95" customHeight="1" x14ac:dyDescent="0.25">
      <c r="A59" s="2" t="s">
        <v>211</v>
      </c>
      <c r="B59" s="2" t="s">
        <v>212</v>
      </c>
      <c r="C59" s="14">
        <f>C61+C62+C63</f>
        <v>0.46821939071787028</v>
      </c>
      <c r="D59" s="2">
        <f t="shared" si="5"/>
        <v>1685.589806584333</v>
      </c>
      <c r="E59" s="2"/>
      <c r="F59" s="2"/>
      <c r="G59" s="2">
        <v>30</v>
      </c>
      <c r="H59" s="2">
        <v>996.01900000000001</v>
      </c>
      <c r="I59" s="2"/>
      <c r="J59" s="2">
        <v>154.86007651009999</v>
      </c>
    </row>
    <row r="60" spans="1:10" ht="24.95" customHeight="1" x14ac:dyDescent="0.25">
      <c r="A60" s="2" t="s">
        <v>213</v>
      </c>
      <c r="B60" s="2" t="s">
        <v>214</v>
      </c>
      <c r="C60" s="14">
        <v>0.61099999999999999</v>
      </c>
      <c r="D60" s="2">
        <f t="shared" si="5"/>
        <v>2199.6</v>
      </c>
      <c r="E60" s="2"/>
      <c r="F60" s="2"/>
      <c r="G60" s="3">
        <v>30</v>
      </c>
      <c r="H60" s="2">
        <v>996.01900000000001</v>
      </c>
      <c r="I60" s="2"/>
      <c r="J60" s="2">
        <v>154.86007651009999</v>
      </c>
    </row>
    <row r="61" spans="1:10" ht="24.95" customHeight="1" x14ac:dyDescent="0.25">
      <c r="A61" s="2" t="s">
        <v>215</v>
      </c>
      <c r="B61" s="2"/>
      <c r="C61" s="14">
        <v>0.04</v>
      </c>
      <c r="D61" s="2">
        <f t="shared" si="5"/>
        <v>144</v>
      </c>
      <c r="E61" s="2"/>
      <c r="F61" s="2"/>
      <c r="G61" s="2">
        <v>30</v>
      </c>
      <c r="H61" s="2">
        <v>993.44785156726505</v>
      </c>
      <c r="I61" s="2"/>
      <c r="J61" s="2">
        <v>154.86007651009999</v>
      </c>
    </row>
    <row r="62" spans="1:10" ht="24.95" customHeight="1" x14ac:dyDescent="0.25">
      <c r="A62" s="2" t="s">
        <v>216</v>
      </c>
      <c r="B62" s="2"/>
      <c r="C62" s="17">
        <v>0.28821939071787028</v>
      </c>
      <c r="D62" s="10">
        <f t="shared" si="5"/>
        <v>1037.589806584333</v>
      </c>
      <c r="E62" s="8">
        <f>F62*1000</f>
        <v>1500</v>
      </c>
      <c r="F62" s="8">
        <v>1.5</v>
      </c>
      <c r="G62" s="8">
        <v>36.986873951140012</v>
      </c>
      <c r="H62" s="8">
        <v>993.44785156726505</v>
      </c>
      <c r="I62" s="2" t="s">
        <v>197</v>
      </c>
      <c r="J62" s="2">
        <v>154.86007651009999</v>
      </c>
    </row>
    <row r="63" spans="1:10" ht="24.95" customHeight="1" x14ac:dyDescent="0.25">
      <c r="A63" s="2" t="s">
        <v>217</v>
      </c>
      <c r="B63" s="2" t="s">
        <v>218</v>
      </c>
      <c r="C63" s="14">
        <v>0.14000000000000001</v>
      </c>
      <c r="D63" s="10">
        <f t="shared" si="5"/>
        <v>504.00000000000006</v>
      </c>
      <c r="E63" s="2"/>
      <c r="F63" s="2"/>
      <c r="G63" s="2">
        <v>30</v>
      </c>
      <c r="H63" s="2">
        <v>996.01900000000001</v>
      </c>
      <c r="I63" s="2"/>
      <c r="J63" s="2">
        <v>154.86007651009999</v>
      </c>
    </row>
    <row r="64" spans="1:10" ht="24.95" customHeight="1" x14ac:dyDescent="0.25">
      <c r="A64" s="2" t="s">
        <v>219</v>
      </c>
      <c r="B64" s="2"/>
      <c r="C64" s="14">
        <v>6.2462515739158402</v>
      </c>
      <c r="D64" s="2">
        <v>22500</v>
      </c>
      <c r="E64" s="2">
        <v>1100</v>
      </c>
      <c r="F64" s="2"/>
      <c r="G64" s="2">
        <v>65</v>
      </c>
      <c r="H64" s="8">
        <v>980.51871415227004</v>
      </c>
      <c r="I64" s="2" t="s">
        <v>197</v>
      </c>
      <c r="J64" s="8">
        <v>272.00286343389962</v>
      </c>
    </row>
    <row r="65" spans="1:10" ht="24.95" customHeight="1" x14ac:dyDescent="0.25">
      <c r="A65" s="2" t="s">
        <v>220</v>
      </c>
      <c r="B65" s="2"/>
      <c r="C65" s="14">
        <v>5.9580321831979699</v>
      </c>
      <c r="D65" s="2">
        <v>21456</v>
      </c>
      <c r="E65" s="2">
        <v>68</v>
      </c>
      <c r="F65" s="2"/>
      <c r="G65" s="2">
        <v>38.39</v>
      </c>
      <c r="H65" s="8">
        <v>992.86869375887102</v>
      </c>
      <c r="I65" s="2" t="s">
        <v>197</v>
      </c>
      <c r="J65" s="8">
        <v>160.71736397940001</v>
      </c>
    </row>
    <row r="66" spans="1:10" ht="24.95" customHeight="1" x14ac:dyDescent="0.25">
      <c r="A66" s="2" t="s">
        <v>221</v>
      </c>
      <c r="B66" s="2"/>
      <c r="C66" s="14">
        <f>C65+C244</f>
        <v>5.9580321831979699</v>
      </c>
      <c r="D66" s="10">
        <f>C66*3600</f>
        <v>21448.91585951269</v>
      </c>
      <c r="E66" s="2">
        <f>E65</f>
        <v>68</v>
      </c>
      <c r="F66" s="8"/>
      <c r="G66" s="8">
        <v>38.33</v>
      </c>
      <c r="H66" s="8"/>
      <c r="I66" s="2" t="s">
        <v>197</v>
      </c>
      <c r="J66" s="8" t="e">
        <v>#VALUE!</v>
      </c>
    </row>
    <row r="67" spans="1:10" ht="24.95" customHeight="1" x14ac:dyDescent="0.25">
      <c r="A67" s="2" t="s">
        <v>222</v>
      </c>
      <c r="B67" s="2"/>
      <c r="C67" s="14">
        <v>3.1</v>
      </c>
      <c r="D67" s="2">
        <v>11160</v>
      </c>
      <c r="E67" s="2">
        <v>1200</v>
      </c>
      <c r="F67" s="2"/>
      <c r="G67" s="2">
        <v>78</v>
      </c>
      <c r="H67" s="8">
        <v>972.92379444924302</v>
      </c>
      <c r="I67" s="2" t="s">
        <v>197</v>
      </c>
      <c r="J67" s="8">
        <v>326.48928038620028</v>
      </c>
    </row>
    <row r="68" spans="1:10" ht="24.95" customHeight="1" x14ac:dyDescent="0.25">
      <c r="A68" s="2" t="s">
        <v>223</v>
      </c>
      <c r="B68" s="2"/>
      <c r="C68" s="14">
        <v>3.05883464610862</v>
      </c>
      <c r="D68" s="2">
        <v>11016</v>
      </c>
      <c r="E68" s="2">
        <v>320.5</v>
      </c>
      <c r="F68" s="2"/>
      <c r="G68" s="2">
        <v>70</v>
      </c>
      <c r="H68" s="8">
        <v>977.32146903273497</v>
      </c>
      <c r="I68" s="2" t="s">
        <v>197</v>
      </c>
      <c r="J68" s="8">
        <v>295.46074710679932</v>
      </c>
    </row>
    <row r="69" spans="1:10" ht="24.95" customHeight="1" x14ac:dyDescent="0.25">
      <c r="A69" s="2" t="s">
        <v>224</v>
      </c>
      <c r="B69" s="2"/>
      <c r="C69" s="14">
        <f>C68+C72</f>
        <v>4.55883464610862</v>
      </c>
      <c r="D69" s="2">
        <f>C69*3600</f>
        <v>16411.804725991031</v>
      </c>
      <c r="E69" s="2">
        <f>E68</f>
        <v>320.5</v>
      </c>
      <c r="F69" s="8"/>
      <c r="G69" s="8">
        <v>69.56</v>
      </c>
      <c r="H69" s="8"/>
      <c r="I69" s="2" t="s">
        <v>197</v>
      </c>
      <c r="J69" s="8" t="e">
        <v>#REF!</v>
      </c>
    </row>
    <row r="70" spans="1:10" ht="24.95" customHeight="1" x14ac:dyDescent="0.25">
      <c r="A70" s="2" t="s">
        <v>225</v>
      </c>
      <c r="B70" s="29" t="s">
        <v>226</v>
      </c>
      <c r="C70" s="14">
        <v>7.0788069194233597E-2</v>
      </c>
      <c r="D70" s="10">
        <f>C70*3600</f>
        <v>254.83704909924094</v>
      </c>
      <c r="E70" s="8">
        <f>F70*1000</f>
        <v>67.970007117963505</v>
      </c>
      <c r="F70" s="8">
        <v>6.7970007117963499E-2</v>
      </c>
      <c r="G70" s="8">
        <v>34.909810702383027</v>
      </c>
      <c r="H70" s="8">
        <v>994.120849768894</v>
      </c>
      <c r="I70" s="2" t="s">
        <v>197</v>
      </c>
      <c r="J70" s="2">
        <v>146.1819317237987</v>
      </c>
    </row>
    <row r="71" spans="1:10" ht="24.95" customHeight="1" x14ac:dyDescent="0.25">
      <c r="A71" s="83" t="s">
        <v>77</v>
      </c>
      <c r="B71" s="84"/>
      <c r="C71" s="85"/>
      <c r="D71" s="86"/>
      <c r="E71" s="86"/>
      <c r="F71" s="86"/>
      <c r="G71" s="86"/>
      <c r="H71" s="86"/>
      <c r="I71" s="86"/>
      <c r="J71" s="87"/>
    </row>
    <row r="72" spans="1:10" ht="24.95" customHeight="1" x14ac:dyDescent="0.25">
      <c r="A72" s="2" t="s">
        <v>227</v>
      </c>
      <c r="B72" s="2"/>
      <c r="C72" s="14">
        <f t="shared" ref="C72:C79" si="6">D72/3600</f>
        <v>1.5</v>
      </c>
      <c r="D72" s="2">
        <v>5400</v>
      </c>
      <c r="E72" s="2">
        <v>259.39999999999998</v>
      </c>
      <c r="F72" s="2"/>
      <c r="G72" s="2">
        <v>66.55</v>
      </c>
      <c r="H72" s="9">
        <v>0.16317000000000001</v>
      </c>
      <c r="I72" s="2" t="s">
        <v>197</v>
      </c>
      <c r="J72" s="8">
        <v>2625.3696364587008</v>
      </c>
    </row>
    <row r="73" spans="1:10" ht="24.95" customHeight="1" x14ac:dyDescent="0.25">
      <c r="A73" s="2" t="s">
        <v>228</v>
      </c>
      <c r="B73" s="2"/>
      <c r="C73" s="14">
        <f t="shared" si="6"/>
        <v>1.3</v>
      </c>
      <c r="D73" s="2">
        <v>4680</v>
      </c>
      <c r="E73" s="2">
        <v>219.6</v>
      </c>
      <c r="F73" s="2"/>
      <c r="G73" s="2">
        <v>62.81</v>
      </c>
      <c r="H73" s="9">
        <v>0.13921</v>
      </c>
      <c r="I73" s="2" t="s">
        <v>197</v>
      </c>
      <c r="J73" s="8">
        <v>2618.5701381963008</v>
      </c>
    </row>
    <row r="74" spans="1:10" ht="24.95" customHeight="1" x14ac:dyDescent="0.25">
      <c r="A74" s="2" t="s">
        <v>229</v>
      </c>
      <c r="B74" s="2"/>
      <c r="C74" s="14">
        <f t="shared" si="6"/>
        <v>1.1599999999999999</v>
      </c>
      <c r="D74" s="2">
        <v>4176</v>
      </c>
      <c r="E74" s="2">
        <v>188</v>
      </c>
      <c r="F74" s="2"/>
      <c r="G74" s="2">
        <v>59.4</v>
      </c>
      <c r="H74" s="9">
        <v>0.12016</v>
      </c>
      <c r="I74" s="2" t="s">
        <v>197</v>
      </c>
      <c r="J74" s="8">
        <v>2612.3605127642991</v>
      </c>
    </row>
    <row r="75" spans="1:10" ht="24.95" customHeight="1" x14ac:dyDescent="0.25">
      <c r="A75" s="2" t="s">
        <v>230</v>
      </c>
      <c r="B75" s="2"/>
      <c r="C75" s="14">
        <f t="shared" si="6"/>
        <v>1.08</v>
      </c>
      <c r="D75" s="2">
        <v>3888</v>
      </c>
      <c r="E75" s="2">
        <v>161.80000000000001</v>
      </c>
      <c r="F75" s="2"/>
      <c r="G75" s="2">
        <v>56.2</v>
      </c>
      <c r="H75" s="9">
        <v>0.10435</v>
      </c>
      <c r="I75" s="2" t="s">
        <v>197</v>
      </c>
      <c r="J75" s="8">
        <v>2606.3945949545</v>
      </c>
    </row>
    <row r="76" spans="1:10" ht="24.95" customHeight="1" x14ac:dyDescent="0.25">
      <c r="A76" s="2" t="s">
        <v>231</v>
      </c>
      <c r="B76" s="2"/>
      <c r="C76" s="14">
        <f t="shared" si="6"/>
        <v>1.06</v>
      </c>
      <c r="D76" s="2">
        <v>3816</v>
      </c>
      <c r="E76" s="2">
        <v>139.5</v>
      </c>
      <c r="F76" s="2"/>
      <c r="G76" s="2">
        <v>53.1</v>
      </c>
      <c r="H76" s="9">
        <v>9.0859999999999996E-2</v>
      </c>
      <c r="I76" s="2" t="s">
        <v>197</v>
      </c>
      <c r="J76" s="8">
        <v>2600.6747189798011</v>
      </c>
    </row>
    <row r="77" spans="1:10" ht="24.95" customHeight="1" x14ac:dyDescent="0.25">
      <c r="A77" s="2" t="s">
        <v>232</v>
      </c>
      <c r="B77" s="2"/>
      <c r="C77" s="14">
        <f t="shared" si="6"/>
        <v>1.08</v>
      </c>
      <c r="D77" s="2">
        <v>3888</v>
      </c>
      <c r="E77" s="2">
        <v>119.8</v>
      </c>
      <c r="F77" s="2"/>
      <c r="G77" s="2">
        <v>50</v>
      </c>
      <c r="H77" s="9">
        <v>7.8920000000000004E-2</v>
      </c>
      <c r="I77" s="2" t="s">
        <v>197</v>
      </c>
      <c r="J77" s="8">
        <v>2594.9063636454989</v>
      </c>
    </row>
    <row r="78" spans="1:10" ht="24.95" customHeight="1" x14ac:dyDescent="0.25">
      <c r="A78" s="2" t="s">
        <v>233</v>
      </c>
      <c r="B78" s="2"/>
      <c r="C78" s="14">
        <f t="shared" si="6"/>
        <v>1.1499999999999999</v>
      </c>
      <c r="D78" s="2">
        <v>4140</v>
      </c>
      <c r="E78" s="2">
        <v>101.7</v>
      </c>
      <c r="F78" s="2"/>
      <c r="G78" s="2">
        <v>46.72</v>
      </c>
      <c r="H78" s="9">
        <v>6.7909999999999998E-2</v>
      </c>
      <c r="I78" s="2" t="s">
        <v>197</v>
      </c>
      <c r="J78" s="8">
        <v>2588.857568072201</v>
      </c>
    </row>
    <row r="79" spans="1:10" ht="24.95" customHeight="1" x14ac:dyDescent="0.25">
      <c r="A79" s="2" t="s">
        <v>234</v>
      </c>
      <c r="B79" s="2"/>
      <c r="C79" s="14">
        <f t="shared" si="6"/>
        <v>1.3</v>
      </c>
      <c r="D79" s="2">
        <v>4680</v>
      </c>
      <c r="E79" s="2">
        <v>84.6</v>
      </c>
      <c r="F79" s="2"/>
      <c r="G79" s="2">
        <v>43.14</v>
      </c>
      <c r="H79" s="9">
        <v>5.7450000000000001E-2</v>
      </c>
      <c r="I79" s="2" t="s">
        <v>197</v>
      </c>
      <c r="J79" s="8">
        <v>2582.1079125668002</v>
      </c>
    </row>
    <row r="80" spans="1:10" ht="24.95" customHeight="1" x14ac:dyDescent="0.25">
      <c r="A80" s="2" t="s">
        <v>235</v>
      </c>
      <c r="B80" s="2"/>
      <c r="C80" s="14">
        <v>1.84</v>
      </c>
      <c r="D80" s="2">
        <f>C80*3600</f>
        <v>6624</v>
      </c>
      <c r="E80" s="2">
        <v>68</v>
      </c>
      <c r="F80" s="2"/>
      <c r="G80" s="2">
        <v>39</v>
      </c>
      <c r="H80" s="9">
        <v>4.7219999999999998E-2</v>
      </c>
      <c r="I80" s="2" t="s">
        <v>197</v>
      </c>
      <c r="J80" s="8">
        <v>2574.2867711235008</v>
      </c>
    </row>
    <row r="81" spans="1:10" ht="24.95" customHeight="1" x14ac:dyDescent="0.25">
      <c r="A81" s="2" t="s">
        <v>236</v>
      </c>
      <c r="B81" s="2" t="s">
        <v>237</v>
      </c>
      <c r="C81" s="14"/>
      <c r="D81" s="2"/>
      <c r="E81" s="2"/>
      <c r="F81" s="2"/>
      <c r="G81" s="2"/>
      <c r="H81" s="2"/>
      <c r="I81" s="2"/>
      <c r="J81" s="2"/>
    </row>
    <row r="82" spans="1:10" ht="24.95" customHeight="1" x14ac:dyDescent="0.25">
      <c r="A82" s="2" t="s">
        <v>238</v>
      </c>
      <c r="B82" s="2" t="s">
        <v>239</v>
      </c>
      <c r="C82" s="14"/>
      <c r="D82" s="2"/>
      <c r="E82" s="2"/>
      <c r="F82" s="2"/>
      <c r="G82" s="2"/>
      <c r="H82" s="2"/>
      <c r="I82" s="2"/>
      <c r="J82" s="2"/>
    </row>
    <row r="83" spans="1:10" ht="24.95" customHeight="1" x14ac:dyDescent="0.25">
      <c r="A83" s="2" t="s">
        <v>240</v>
      </c>
      <c r="B83" s="2" t="s">
        <v>241</v>
      </c>
      <c r="C83" s="14"/>
      <c r="D83" s="2"/>
      <c r="E83" s="2"/>
      <c r="F83" s="2"/>
      <c r="G83" s="2"/>
      <c r="H83" s="2"/>
      <c r="I83" s="2"/>
      <c r="J83" s="2"/>
    </row>
    <row r="84" spans="1:10" ht="24.95" customHeight="1" x14ac:dyDescent="0.25">
      <c r="A84" s="2" t="s">
        <v>242</v>
      </c>
      <c r="B84" s="2" t="s">
        <v>243</v>
      </c>
      <c r="C84" s="8">
        <v>0.28999999999999998</v>
      </c>
      <c r="D84" s="10">
        <f>C84*3600</f>
        <v>1044</v>
      </c>
      <c r="E84" s="8">
        <f>F84*1000</f>
        <v>67.96946100000001</v>
      </c>
      <c r="F84" s="11">
        <v>6.7969461000000009E-2</v>
      </c>
      <c r="G84" s="8">
        <v>38.388778286519027</v>
      </c>
      <c r="H84" s="9">
        <v>4.7309447115236901E-2</v>
      </c>
      <c r="I84" s="2" t="s">
        <v>197</v>
      </c>
      <c r="J84" s="8">
        <v>2572.481625886001</v>
      </c>
    </row>
    <row r="85" spans="1:10" ht="24.95" customHeight="1" x14ac:dyDescent="0.25">
      <c r="A85" s="2" t="s">
        <v>244</v>
      </c>
      <c r="B85" s="2"/>
      <c r="C85" s="14">
        <v>4.1165353891384301E-2</v>
      </c>
      <c r="D85" s="10">
        <f>C85*3600</f>
        <v>148.19527400898349</v>
      </c>
      <c r="E85" s="8">
        <f>F85*1000</f>
        <v>320.45592342197199</v>
      </c>
      <c r="F85" s="11">
        <v>0.32045592342197199</v>
      </c>
      <c r="G85" s="2">
        <v>70.600000000000023</v>
      </c>
      <c r="H85" s="9">
        <v>0.20256018225191899</v>
      </c>
      <c r="I85" s="2" t="s">
        <v>197</v>
      </c>
      <c r="J85" s="8">
        <v>2632.0968755505</v>
      </c>
    </row>
    <row r="86" spans="1:10" ht="24.95" customHeight="1" x14ac:dyDescent="0.25">
      <c r="A86" s="2" t="s">
        <v>245</v>
      </c>
      <c r="B86" s="2" t="s">
        <v>246</v>
      </c>
      <c r="C86" s="14">
        <v>1.879</v>
      </c>
      <c r="D86" s="10">
        <f>C86*3600</f>
        <v>6764.4</v>
      </c>
      <c r="E86" s="8">
        <v>320.45999999999998</v>
      </c>
      <c r="F86" s="11">
        <f>E86/1000</f>
        <v>0.32045999999999997</v>
      </c>
      <c r="G86" s="2">
        <v>70.599999999999994</v>
      </c>
      <c r="H86" s="9">
        <v>0.20256357523351901</v>
      </c>
      <c r="I86" s="2" t="s">
        <v>197</v>
      </c>
      <c r="J86" s="8">
        <v>2632.6396653285001</v>
      </c>
    </row>
    <row r="87" spans="1:10" ht="24.95" customHeight="1" x14ac:dyDescent="0.25">
      <c r="A87" s="83" t="s">
        <v>247</v>
      </c>
      <c r="B87" s="84"/>
      <c r="C87" s="85"/>
      <c r="D87" s="86"/>
      <c r="E87" s="86"/>
      <c r="F87" s="86"/>
      <c r="G87" s="86"/>
      <c r="H87" s="86"/>
      <c r="I87" s="86"/>
      <c r="J87" s="87"/>
    </row>
    <row r="88" spans="1:10" ht="24.95" customHeight="1" x14ac:dyDescent="0.25">
      <c r="A88" s="8" t="s">
        <v>248</v>
      </c>
      <c r="B88" s="8"/>
      <c r="C88" s="8">
        <f t="shared" ref="C88:C96" si="7">D88/3600</f>
        <v>1.2613888888888888E-4</v>
      </c>
      <c r="D88" s="8">
        <v>0.4541</v>
      </c>
      <c r="E88" s="8">
        <v>320</v>
      </c>
      <c r="F88" s="8"/>
      <c r="G88" s="8">
        <v>36.5</v>
      </c>
      <c r="H88" s="8">
        <v>0.32860310921873448</v>
      </c>
      <c r="I88" s="8"/>
      <c r="J88" s="8"/>
    </row>
    <row r="89" spans="1:10" ht="24.95" customHeight="1" x14ac:dyDescent="0.25">
      <c r="A89" s="8" t="s">
        <v>249</v>
      </c>
      <c r="B89" s="8"/>
      <c r="C89" s="8">
        <f t="shared" si="7"/>
        <v>2.5680555555555553E-4</v>
      </c>
      <c r="D89" s="8">
        <v>0.92449999999999999</v>
      </c>
      <c r="E89" s="8">
        <v>259</v>
      </c>
      <c r="F89" s="8"/>
      <c r="G89" s="8">
        <v>36.5</v>
      </c>
      <c r="H89" s="8">
        <v>0.25987610860884103</v>
      </c>
      <c r="I89" s="8"/>
      <c r="J89" s="8"/>
    </row>
    <row r="90" spans="1:10" ht="24.95" customHeight="1" x14ac:dyDescent="0.25">
      <c r="A90" s="8" t="s">
        <v>250</v>
      </c>
      <c r="B90" s="8"/>
      <c r="C90" s="8">
        <f t="shared" si="7"/>
        <v>3.9786111111111109E-4</v>
      </c>
      <c r="D90" s="8">
        <v>1.4322999999999999</v>
      </c>
      <c r="E90" s="8">
        <v>219</v>
      </c>
      <c r="F90" s="8"/>
      <c r="G90" s="8">
        <v>36.5</v>
      </c>
      <c r="H90" s="8">
        <v>0.21216307938384499</v>
      </c>
      <c r="I90" s="8"/>
      <c r="J90" s="8"/>
    </row>
    <row r="91" spans="1:10" ht="24.95" customHeight="1" x14ac:dyDescent="0.25">
      <c r="A91" s="8" t="s">
        <v>251</v>
      </c>
      <c r="B91" s="8"/>
      <c r="C91" s="8">
        <f t="shared" si="7"/>
        <v>5.5730555555555557E-4</v>
      </c>
      <c r="D91" s="8">
        <v>2.0063</v>
      </c>
      <c r="E91" s="8">
        <v>187</v>
      </c>
      <c r="F91" s="8"/>
      <c r="G91" s="8">
        <v>36.9</v>
      </c>
      <c r="H91" s="8">
        <v>0.18040608029075109</v>
      </c>
      <c r="I91" s="8"/>
      <c r="J91" s="8"/>
    </row>
    <row r="92" spans="1:10" ht="24.95" customHeight="1" x14ac:dyDescent="0.25">
      <c r="A92" s="8" t="s">
        <v>252</v>
      </c>
      <c r="B92" s="8"/>
      <c r="C92" s="8">
        <f t="shared" si="7"/>
        <v>7.3813888888888898E-4</v>
      </c>
      <c r="D92" s="8">
        <v>2.6573000000000002</v>
      </c>
      <c r="E92" s="8">
        <v>161</v>
      </c>
      <c r="F92" s="8"/>
      <c r="G92" s="8">
        <v>36.9</v>
      </c>
      <c r="H92" s="8">
        <v>0.151480776174888</v>
      </c>
      <c r="I92" s="8"/>
      <c r="J92" s="8"/>
    </row>
    <row r="93" spans="1:10" ht="24.95" customHeight="1" x14ac:dyDescent="0.25">
      <c r="A93" s="8" t="s">
        <v>253</v>
      </c>
      <c r="B93" s="8"/>
      <c r="C93" s="8">
        <f t="shared" si="7"/>
        <v>9.5905555555555555E-4</v>
      </c>
      <c r="D93" s="8">
        <v>3.4525999999999999</v>
      </c>
      <c r="E93" s="8">
        <v>138</v>
      </c>
      <c r="F93" s="8"/>
      <c r="G93" s="8">
        <v>36.9</v>
      </c>
      <c r="H93" s="8">
        <v>0.1263225203913288</v>
      </c>
      <c r="I93" s="8"/>
      <c r="J93" s="8"/>
    </row>
    <row r="94" spans="1:10" ht="24.95" customHeight="1" x14ac:dyDescent="0.25">
      <c r="A94" s="8" t="s">
        <v>254</v>
      </c>
      <c r="B94" s="8"/>
      <c r="C94" s="8">
        <f t="shared" si="7"/>
        <v>1.1809722222222221E-3</v>
      </c>
      <c r="D94" s="8">
        <v>4.2515000000000001</v>
      </c>
      <c r="E94" s="8">
        <v>119</v>
      </c>
      <c r="F94" s="8"/>
      <c r="G94" s="8">
        <v>35.700000000000003</v>
      </c>
      <c r="H94" s="8">
        <v>0.1074064001621368</v>
      </c>
      <c r="I94" s="8"/>
      <c r="J94" s="8"/>
    </row>
    <row r="95" spans="1:10" ht="24.95" customHeight="1" x14ac:dyDescent="0.25">
      <c r="A95" s="8" t="s">
        <v>255</v>
      </c>
      <c r="B95" s="8"/>
      <c r="C95" s="8">
        <f t="shared" si="7"/>
        <v>5.7625000000000003E-3</v>
      </c>
      <c r="D95" s="8">
        <v>20.745000000000001</v>
      </c>
      <c r="E95" s="8">
        <v>100</v>
      </c>
      <c r="F95" s="8"/>
      <c r="G95" s="8">
        <v>44.01</v>
      </c>
      <c r="H95" s="8">
        <v>7.2101938174681052E-2</v>
      </c>
      <c r="I95" s="8"/>
      <c r="J95" s="8"/>
    </row>
    <row r="96" spans="1:10" ht="24.95" customHeight="1" x14ac:dyDescent="0.25">
      <c r="A96" s="8" t="s">
        <v>256</v>
      </c>
      <c r="B96" s="8"/>
      <c r="C96" s="8">
        <f t="shared" si="7"/>
        <v>3.2908333333333331E-2</v>
      </c>
      <c r="D96" s="8">
        <v>118.47</v>
      </c>
      <c r="E96" s="8">
        <v>82</v>
      </c>
      <c r="F96" s="8"/>
      <c r="G96" s="8">
        <v>41.91</v>
      </c>
      <c r="H96" s="8">
        <v>5.6641585640965032E-2</v>
      </c>
      <c r="I96" s="8"/>
      <c r="J96" s="8"/>
    </row>
    <row r="97" spans="1:10" ht="24.95" customHeight="1" x14ac:dyDescent="0.25">
      <c r="A97" s="8" t="s">
        <v>257</v>
      </c>
      <c r="B97" s="8"/>
      <c r="C97" s="8"/>
      <c r="D97" s="8"/>
      <c r="E97" s="8"/>
      <c r="F97" s="8"/>
      <c r="G97" s="8"/>
      <c r="H97" s="8"/>
      <c r="I97" s="8"/>
      <c r="J97" s="8"/>
    </row>
    <row r="98" spans="1:10" ht="24.95" customHeight="1" x14ac:dyDescent="0.25">
      <c r="A98" s="8" t="s">
        <v>258</v>
      </c>
      <c r="B98" s="8" t="s">
        <v>259</v>
      </c>
      <c r="C98" s="8"/>
      <c r="D98" s="8"/>
      <c r="E98" s="8"/>
      <c r="F98" s="8"/>
      <c r="G98" s="8"/>
      <c r="H98" s="8"/>
      <c r="I98" s="8"/>
      <c r="J98" s="8"/>
    </row>
    <row r="99" spans="1:10" ht="24.95" customHeight="1" x14ac:dyDescent="0.25">
      <c r="A99" s="8" t="s">
        <v>260</v>
      </c>
      <c r="B99" s="8" t="s">
        <v>261</v>
      </c>
      <c r="C99" s="8"/>
      <c r="D99" s="8"/>
      <c r="E99" s="8"/>
      <c r="F99" s="8"/>
      <c r="G99" s="8"/>
      <c r="H99" s="8"/>
      <c r="I99" s="8"/>
      <c r="J99" s="8"/>
    </row>
    <row r="100" spans="1:10" ht="24.95" customHeight="1" x14ac:dyDescent="0.25">
      <c r="A100" s="83" t="s">
        <v>83</v>
      </c>
      <c r="B100" s="84"/>
      <c r="C100" s="85"/>
      <c r="D100" s="86"/>
      <c r="E100" s="86"/>
      <c r="F100" s="86"/>
      <c r="G100" s="86"/>
      <c r="H100" s="86"/>
      <c r="I100" s="86"/>
      <c r="J100" s="87"/>
    </row>
    <row r="101" spans="1:10" ht="24.95" customHeight="1" x14ac:dyDescent="0.25">
      <c r="A101" s="2" t="s">
        <v>262</v>
      </c>
      <c r="B101" s="2"/>
      <c r="C101" s="14">
        <f>$C$8+$C$36</f>
        <v>5.5698346602097306</v>
      </c>
      <c r="D101" s="14">
        <f>C101*60*60</f>
        <v>20051.404776755029</v>
      </c>
      <c r="E101" s="27">
        <v>2500</v>
      </c>
      <c r="F101" s="14"/>
      <c r="G101" s="14">
        <v>36.46</v>
      </c>
      <c r="H101" s="14">
        <v>1029.6110710277201</v>
      </c>
      <c r="I101" s="14">
        <v>46470.833871774681</v>
      </c>
      <c r="J101" s="14">
        <v>530.59299861779982</v>
      </c>
    </row>
    <row r="102" spans="1:10" ht="24.95" customHeight="1" x14ac:dyDescent="0.25">
      <c r="A102" s="2" t="s">
        <v>263</v>
      </c>
      <c r="B102" s="2"/>
      <c r="C102" s="14">
        <f t="shared" ref="C102:C111" si="8">$C$101/10</f>
        <v>0.55698346602097304</v>
      </c>
      <c r="D102" s="14">
        <f t="shared" ref="D102:D111" si="9">$D$101/10</f>
        <v>2005.140477675503</v>
      </c>
      <c r="E102" s="27">
        <v>2500</v>
      </c>
      <c r="F102" s="14"/>
      <c r="G102" s="14">
        <v>36.46</v>
      </c>
      <c r="H102" s="14">
        <v>1029.6110710277201</v>
      </c>
      <c r="I102" s="14">
        <v>46470.833871774681</v>
      </c>
      <c r="J102" s="14">
        <v>530.59299861779982</v>
      </c>
    </row>
    <row r="103" spans="1:10" ht="24.95" customHeight="1" x14ac:dyDescent="0.25">
      <c r="A103" s="2" t="s">
        <v>264</v>
      </c>
      <c r="B103" s="2"/>
      <c r="C103" s="14">
        <f t="shared" si="8"/>
        <v>0.55698346602097304</v>
      </c>
      <c r="D103" s="14">
        <f t="shared" si="9"/>
        <v>2005.140477675503</v>
      </c>
      <c r="E103" s="27">
        <v>2500</v>
      </c>
      <c r="F103" s="14"/>
      <c r="G103" s="14">
        <v>36.46</v>
      </c>
      <c r="H103" s="14">
        <v>1029.6110710277201</v>
      </c>
      <c r="I103" s="14">
        <v>46470.833871774681</v>
      </c>
      <c r="J103" s="14">
        <v>530.59299861779982</v>
      </c>
    </row>
    <row r="104" spans="1:10" ht="24.95" customHeight="1" x14ac:dyDescent="0.25">
      <c r="A104" s="2" t="s">
        <v>265</v>
      </c>
      <c r="B104" s="2"/>
      <c r="C104" s="14">
        <f t="shared" si="8"/>
        <v>0.55698346602097304</v>
      </c>
      <c r="D104" s="14">
        <f t="shared" si="9"/>
        <v>2005.140477675503</v>
      </c>
      <c r="E104" s="27">
        <v>2500</v>
      </c>
      <c r="F104" s="14"/>
      <c r="G104" s="14">
        <v>36.46</v>
      </c>
      <c r="H104" s="14">
        <v>1029.6110710277201</v>
      </c>
      <c r="I104" s="14">
        <v>46470.833871774681</v>
      </c>
      <c r="J104" s="14">
        <v>530.59299861779982</v>
      </c>
    </row>
    <row r="105" spans="1:10" ht="24.95" customHeight="1" x14ac:dyDescent="0.25">
      <c r="A105" s="2" t="s">
        <v>266</v>
      </c>
      <c r="B105" s="2"/>
      <c r="C105" s="14">
        <f t="shared" si="8"/>
        <v>0.55698346602097304</v>
      </c>
      <c r="D105" s="14">
        <f t="shared" si="9"/>
        <v>2005.140477675503</v>
      </c>
      <c r="E105" s="27">
        <v>2500</v>
      </c>
      <c r="F105" s="14"/>
      <c r="G105" s="14">
        <v>36.46</v>
      </c>
      <c r="H105" s="14">
        <v>1029.6110710277201</v>
      </c>
      <c r="I105" s="14">
        <v>46470.833871774681</v>
      </c>
      <c r="J105" s="14">
        <v>530.59299861779982</v>
      </c>
    </row>
    <row r="106" spans="1:10" ht="24.95" customHeight="1" x14ac:dyDescent="0.25">
      <c r="A106" s="2" t="s">
        <v>267</v>
      </c>
      <c r="B106" s="2"/>
      <c r="C106" s="14">
        <f t="shared" si="8"/>
        <v>0.55698346602097304</v>
      </c>
      <c r="D106" s="14">
        <f t="shared" si="9"/>
        <v>2005.140477675503</v>
      </c>
      <c r="E106" s="27">
        <v>2500</v>
      </c>
      <c r="F106" s="14"/>
      <c r="G106" s="14">
        <v>36.46</v>
      </c>
      <c r="H106" s="14">
        <v>1029.6110710277201</v>
      </c>
      <c r="I106" s="14">
        <v>46470.833871774681</v>
      </c>
      <c r="J106" s="14">
        <v>530.59299861779982</v>
      </c>
    </row>
    <row r="107" spans="1:10" ht="24.95" customHeight="1" x14ac:dyDescent="0.25">
      <c r="A107" s="2" t="s">
        <v>268</v>
      </c>
      <c r="B107" s="2"/>
      <c r="C107" s="14">
        <f t="shared" si="8"/>
        <v>0.55698346602097304</v>
      </c>
      <c r="D107" s="14">
        <f t="shared" si="9"/>
        <v>2005.140477675503</v>
      </c>
      <c r="E107" s="27">
        <v>2500</v>
      </c>
      <c r="F107" s="14"/>
      <c r="G107" s="14">
        <v>36.46</v>
      </c>
      <c r="H107" s="14">
        <v>1029.6110710277201</v>
      </c>
      <c r="I107" s="14">
        <v>46470.833871774681</v>
      </c>
      <c r="J107" s="14">
        <v>530.59299861779982</v>
      </c>
    </row>
    <row r="108" spans="1:10" ht="24.95" customHeight="1" x14ac:dyDescent="0.25">
      <c r="A108" s="2" t="s">
        <v>269</v>
      </c>
      <c r="B108" s="2"/>
      <c r="C108" s="14">
        <f t="shared" si="8"/>
        <v>0.55698346602097304</v>
      </c>
      <c r="D108" s="14">
        <f t="shared" si="9"/>
        <v>2005.140477675503</v>
      </c>
      <c r="E108" s="27">
        <v>2500</v>
      </c>
      <c r="F108" s="14"/>
      <c r="G108" s="14">
        <v>36.46</v>
      </c>
      <c r="H108" s="14">
        <v>1029.6110710277201</v>
      </c>
      <c r="I108" s="14">
        <v>46470.833871774681</v>
      </c>
      <c r="J108" s="14">
        <v>530.59299861779982</v>
      </c>
    </row>
    <row r="109" spans="1:10" ht="24.95" customHeight="1" x14ac:dyDescent="0.25">
      <c r="A109" s="2" t="s">
        <v>270</v>
      </c>
      <c r="B109" s="2"/>
      <c r="C109" s="14">
        <f t="shared" si="8"/>
        <v>0.55698346602097304</v>
      </c>
      <c r="D109" s="14">
        <f t="shared" si="9"/>
        <v>2005.140477675503</v>
      </c>
      <c r="E109" s="27">
        <v>2500</v>
      </c>
      <c r="F109" s="14"/>
      <c r="G109" s="14">
        <v>36.46</v>
      </c>
      <c r="H109" s="14">
        <v>1029.6110710277201</v>
      </c>
      <c r="I109" s="14">
        <v>46470.833871774681</v>
      </c>
      <c r="J109" s="14">
        <v>530.59299861779982</v>
      </c>
    </row>
    <row r="110" spans="1:10" ht="24.95" customHeight="1" x14ac:dyDescent="0.25">
      <c r="A110" s="2" t="s">
        <v>271</v>
      </c>
      <c r="B110" s="2"/>
      <c r="C110" s="14">
        <f t="shared" si="8"/>
        <v>0.55698346602097304</v>
      </c>
      <c r="D110" s="14">
        <f t="shared" si="9"/>
        <v>2005.140477675503</v>
      </c>
      <c r="E110" s="27">
        <v>2500</v>
      </c>
      <c r="F110" s="14"/>
      <c r="G110" s="14">
        <v>36.46</v>
      </c>
      <c r="H110" s="14">
        <v>1029.6110710277201</v>
      </c>
      <c r="I110" s="14">
        <v>46470.833871774681</v>
      </c>
      <c r="J110" s="14">
        <v>530.59299861779982</v>
      </c>
    </row>
    <row r="111" spans="1:10" ht="24.95" customHeight="1" x14ac:dyDescent="0.25">
      <c r="A111" s="2" t="s">
        <v>272</v>
      </c>
      <c r="B111" s="2"/>
      <c r="C111" s="14">
        <f t="shared" si="8"/>
        <v>0.55698346602097304</v>
      </c>
      <c r="D111" s="14">
        <f t="shared" si="9"/>
        <v>2005.140477675503</v>
      </c>
      <c r="E111" s="27">
        <v>2500</v>
      </c>
      <c r="F111" s="14"/>
      <c r="G111" s="14">
        <v>36.46</v>
      </c>
      <c r="H111" s="14">
        <v>1029.6110710277201</v>
      </c>
      <c r="I111" s="14">
        <v>46470.833871774681</v>
      </c>
      <c r="J111" s="14">
        <v>530.59299861779982</v>
      </c>
    </row>
    <row r="112" spans="1:10" ht="24.95" customHeight="1" x14ac:dyDescent="0.25">
      <c r="A112" s="2" t="s">
        <v>273</v>
      </c>
      <c r="B112" s="2"/>
      <c r="C112" s="14">
        <f>$C$9+$C$37</f>
        <v>5.5698346602097306</v>
      </c>
      <c r="D112" s="14">
        <f>C112*60*60</f>
        <v>20051.404776755029</v>
      </c>
      <c r="E112" s="27">
        <v>2500</v>
      </c>
      <c r="F112" s="14"/>
      <c r="G112" s="14">
        <v>36.46</v>
      </c>
      <c r="H112" s="14">
        <v>1029.6110710277201</v>
      </c>
      <c r="I112" s="14">
        <v>46470.833871774681</v>
      </c>
      <c r="J112" s="14">
        <v>530.59299861779982</v>
      </c>
    </row>
    <row r="113" spans="1:10" ht="24.95" customHeight="1" x14ac:dyDescent="0.25">
      <c r="A113" s="2" t="s">
        <v>274</v>
      </c>
      <c r="B113" s="2"/>
      <c r="C113" s="14">
        <f t="shared" ref="C113:C122" si="10">$C$112/10</f>
        <v>0.55698346602097304</v>
      </c>
      <c r="D113" s="14">
        <f t="shared" ref="D113:D122" si="11">$D$112/10</f>
        <v>2005.140477675503</v>
      </c>
      <c r="E113" s="27">
        <v>2500</v>
      </c>
      <c r="F113" s="14"/>
      <c r="G113" s="14">
        <v>36.46</v>
      </c>
      <c r="H113" s="14">
        <v>1029.6110710277201</v>
      </c>
      <c r="I113" s="14">
        <v>46470.833871774681</v>
      </c>
      <c r="J113" s="14">
        <v>530.59299861779982</v>
      </c>
    </row>
    <row r="114" spans="1:10" ht="24.95" customHeight="1" x14ac:dyDescent="0.25">
      <c r="A114" s="2" t="s">
        <v>275</v>
      </c>
      <c r="B114" s="2"/>
      <c r="C114" s="14">
        <f t="shared" si="10"/>
        <v>0.55698346602097304</v>
      </c>
      <c r="D114" s="14">
        <f t="shared" si="11"/>
        <v>2005.140477675503</v>
      </c>
      <c r="E114" s="27">
        <v>2500</v>
      </c>
      <c r="F114" s="14"/>
      <c r="G114" s="14">
        <v>36.46</v>
      </c>
      <c r="H114" s="14">
        <v>1029.6110710277201</v>
      </c>
      <c r="I114" s="14">
        <v>46470.833871774681</v>
      </c>
      <c r="J114" s="14">
        <v>530.59299861779982</v>
      </c>
    </row>
    <row r="115" spans="1:10" ht="24.95" customHeight="1" x14ac:dyDescent="0.25">
      <c r="A115" s="2" t="s">
        <v>276</v>
      </c>
      <c r="B115" s="2"/>
      <c r="C115" s="14">
        <f t="shared" si="10"/>
        <v>0.55698346602097304</v>
      </c>
      <c r="D115" s="14">
        <f t="shared" si="11"/>
        <v>2005.140477675503</v>
      </c>
      <c r="E115" s="27">
        <v>2500</v>
      </c>
      <c r="F115" s="14"/>
      <c r="G115" s="14">
        <v>36.46</v>
      </c>
      <c r="H115" s="14">
        <v>1029.6110710277201</v>
      </c>
      <c r="I115" s="14">
        <v>46470.833871774681</v>
      </c>
      <c r="J115" s="14">
        <v>530.59299861779982</v>
      </c>
    </row>
    <row r="116" spans="1:10" ht="24.95" customHeight="1" x14ac:dyDescent="0.25">
      <c r="A116" s="2" t="s">
        <v>277</v>
      </c>
      <c r="B116" s="2"/>
      <c r="C116" s="14">
        <f t="shared" si="10"/>
        <v>0.55698346602097304</v>
      </c>
      <c r="D116" s="14">
        <f t="shared" si="11"/>
        <v>2005.140477675503</v>
      </c>
      <c r="E116" s="27">
        <v>2500</v>
      </c>
      <c r="F116" s="14"/>
      <c r="G116" s="14">
        <v>36.46</v>
      </c>
      <c r="H116" s="14">
        <v>1029.6110710277201</v>
      </c>
      <c r="I116" s="14">
        <v>46470.833871774681</v>
      </c>
      <c r="J116" s="14">
        <v>530.59299861779982</v>
      </c>
    </row>
    <row r="117" spans="1:10" ht="24.95" customHeight="1" x14ac:dyDescent="0.25">
      <c r="A117" s="2" t="s">
        <v>278</v>
      </c>
      <c r="B117" s="2"/>
      <c r="C117" s="14">
        <f t="shared" si="10"/>
        <v>0.55698346602097304</v>
      </c>
      <c r="D117" s="14">
        <f t="shared" si="11"/>
        <v>2005.140477675503</v>
      </c>
      <c r="E117" s="27">
        <v>2500</v>
      </c>
      <c r="F117" s="14"/>
      <c r="G117" s="14">
        <v>36.46</v>
      </c>
      <c r="H117" s="14">
        <v>1029.6110710277201</v>
      </c>
      <c r="I117" s="14">
        <v>46470.833871774681</v>
      </c>
      <c r="J117" s="14">
        <v>530.59299861779982</v>
      </c>
    </row>
    <row r="118" spans="1:10" ht="24.95" customHeight="1" x14ac:dyDescent="0.25">
      <c r="A118" s="2" t="s">
        <v>279</v>
      </c>
      <c r="B118" s="2"/>
      <c r="C118" s="14">
        <f t="shared" si="10"/>
        <v>0.55698346602097304</v>
      </c>
      <c r="D118" s="14">
        <f t="shared" si="11"/>
        <v>2005.140477675503</v>
      </c>
      <c r="E118" s="27">
        <v>2500</v>
      </c>
      <c r="F118" s="14"/>
      <c r="G118" s="14">
        <v>36.46</v>
      </c>
      <c r="H118" s="14">
        <v>1029.6110710277201</v>
      </c>
      <c r="I118" s="14">
        <v>46470.833871774681</v>
      </c>
      <c r="J118" s="14">
        <v>530.59299861779982</v>
      </c>
    </row>
    <row r="119" spans="1:10" ht="24.95" customHeight="1" x14ac:dyDescent="0.25">
      <c r="A119" s="2" t="s">
        <v>280</v>
      </c>
      <c r="B119" s="2"/>
      <c r="C119" s="14">
        <f t="shared" si="10"/>
        <v>0.55698346602097304</v>
      </c>
      <c r="D119" s="14">
        <f t="shared" si="11"/>
        <v>2005.140477675503</v>
      </c>
      <c r="E119" s="27">
        <v>2500</v>
      </c>
      <c r="F119" s="14"/>
      <c r="G119" s="14">
        <v>36.46</v>
      </c>
      <c r="H119" s="14">
        <v>1029.6110710277201</v>
      </c>
      <c r="I119" s="14">
        <v>46470.833871774681</v>
      </c>
      <c r="J119" s="14">
        <v>530.59299861779982</v>
      </c>
    </row>
    <row r="120" spans="1:10" ht="24.95" customHeight="1" x14ac:dyDescent="0.25">
      <c r="A120" s="2" t="s">
        <v>281</v>
      </c>
      <c r="B120" s="2"/>
      <c r="C120" s="14">
        <f t="shared" si="10"/>
        <v>0.55698346602097304</v>
      </c>
      <c r="D120" s="14">
        <f t="shared" si="11"/>
        <v>2005.140477675503</v>
      </c>
      <c r="E120" s="27">
        <v>2500</v>
      </c>
      <c r="F120" s="14"/>
      <c r="G120" s="14">
        <v>36.46</v>
      </c>
      <c r="H120" s="14">
        <v>1029.6110710277201</v>
      </c>
      <c r="I120" s="14">
        <v>46470.833871774681</v>
      </c>
      <c r="J120" s="14">
        <v>530.59299861779982</v>
      </c>
    </row>
    <row r="121" spans="1:10" ht="24.95" customHeight="1" x14ac:dyDescent="0.25">
      <c r="A121" s="2" t="s">
        <v>282</v>
      </c>
      <c r="B121" s="2"/>
      <c r="C121" s="14">
        <f t="shared" si="10"/>
        <v>0.55698346602097304</v>
      </c>
      <c r="D121" s="14">
        <f t="shared" si="11"/>
        <v>2005.140477675503</v>
      </c>
      <c r="E121" s="27">
        <v>2500</v>
      </c>
      <c r="F121" s="14"/>
      <c r="G121" s="14">
        <v>36.46</v>
      </c>
      <c r="H121" s="14">
        <v>1029.6110710277201</v>
      </c>
      <c r="I121" s="14">
        <v>46470.833871774681</v>
      </c>
      <c r="J121" s="14">
        <v>530.59299861779982</v>
      </c>
    </row>
    <row r="122" spans="1:10" ht="24.95" customHeight="1" x14ac:dyDescent="0.25">
      <c r="A122" s="2" t="s">
        <v>283</v>
      </c>
      <c r="B122" s="2"/>
      <c r="C122" s="14">
        <f t="shared" si="10"/>
        <v>0.55698346602097304</v>
      </c>
      <c r="D122" s="14">
        <f t="shared" si="11"/>
        <v>2005.140477675503</v>
      </c>
      <c r="E122" s="27">
        <v>2500</v>
      </c>
      <c r="F122" s="14"/>
      <c r="G122" s="14">
        <v>36.46</v>
      </c>
      <c r="H122" s="14">
        <v>1029.6110710277201</v>
      </c>
      <c r="I122" s="14">
        <v>46470.833871774681</v>
      </c>
      <c r="J122" s="14">
        <v>530.59299861779982</v>
      </c>
    </row>
    <row r="123" spans="1:10" ht="24.95" customHeight="1" x14ac:dyDescent="0.25">
      <c r="A123" s="2" t="s">
        <v>284</v>
      </c>
      <c r="B123" s="2"/>
      <c r="C123" s="14">
        <f>$C$10+$C$38</f>
        <v>5.5598346602097308</v>
      </c>
      <c r="D123" s="14">
        <f>C123*60*60</f>
        <v>20015.404776755029</v>
      </c>
      <c r="E123" s="27">
        <v>2500</v>
      </c>
      <c r="F123" s="14"/>
      <c r="G123" s="14">
        <v>36.46</v>
      </c>
      <c r="H123" s="14">
        <v>1029.6110710277201</v>
      </c>
      <c r="I123" s="14">
        <v>46470.833871774681</v>
      </c>
      <c r="J123" s="14">
        <v>530.59299861779982</v>
      </c>
    </row>
    <row r="124" spans="1:10" ht="24.95" customHeight="1" x14ac:dyDescent="0.25">
      <c r="A124" s="2" t="s">
        <v>285</v>
      </c>
      <c r="B124" s="2"/>
      <c r="C124" s="14">
        <f t="shared" ref="C124:C133" si="12">$C$123/10</f>
        <v>0.55598346602097304</v>
      </c>
      <c r="D124" s="14">
        <f t="shared" ref="D124:D133" si="13">$D$123/10</f>
        <v>2001.5404776755029</v>
      </c>
      <c r="E124" s="27">
        <v>2500</v>
      </c>
      <c r="F124" s="14"/>
      <c r="G124" s="14">
        <v>36.46</v>
      </c>
      <c r="H124" s="14">
        <v>1029.6110710277201</v>
      </c>
      <c r="I124" s="14">
        <v>46470.833871774681</v>
      </c>
      <c r="J124" s="14">
        <v>530.59299861779982</v>
      </c>
    </row>
    <row r="125" spans="1:10" ht="24.95" customHeight="1" x14ac:dyDescent="0.25">
      <c r="A125" s="2" t="s">
        <v>286</v>
      </c>
      <c r="B125" s="2"/>
      <c r="C125" s="14">
        <f t="shared" si="12"/>
        <v>0.55598346602097304</v>
      </c>
      <c r="D125" s="14">
        <f t="shared" si="13"/>
        <v>2001.5404776755029</v>
      </c>
      <c r="E125" s="27">
        <v>2500</v>
      </c>
      <c r="F125" s="14"/>
      <c r="G125" s="14">
        <v>36.46</v>
      </c>
      <c r="H125" s="14">
        <v>1029.6110710277201</v>
      </c>
      <c r="I125" s="14">
        <v>46470.833871774681</v>
      </c>
      <c r="J125" s="14">
        <v>530.59299861779982</v>
      </c>
    </row>
    <row r="126" spans="1:10" ht="24.95" customHeight="1" x14ac:dyDescent="0.25">
      <c r="A126" s="2" t="s">
        <v>287</v>
      </c>
      <c r="B126" s="2"/>
      <c r="C126" s="14">
        <f t="shared" si="12"/>
        <v>0.55598346602097304</v>
      </c>
      <c r="D126" s="14">
        <f t="shared" si="13"/>
        <v>2001.5404776755029</v>
      </c>
      <c r="E126" s="27">
        <v>2500</v>
      </c>
      <c r="F126" s="14"/>
      <c r="G126" s="14">
        <v>36.46</v>
      </c>
      <c r="H126" s="14">
        <v>1029.6110710277201</v>
      </c>
      <c r="I126" s="14">
        <v>46470.833871774681</v>
      </c>
      <c r="J126" s="14">
        <v>530.59299861779982</v>
      </c>
    </row>
    <row r="127" spans="1:10" ht="24.95" customHeight="1" x14ac:dyDescent="0.25">
      <c r="A127" s="2" t="s">
        <v>288</v>
      </c>
      <c r="B127" s="2"/>
      <c r="C127" s="14">
        <f t="shared" si="12"/>
        <v>0.55598346602097304</v>
      </c>
      <c r="D127" s="14">
        <f t="shared" si="13"/>
        <v>2001.5404776755029</v>
      </c>
      <c r="E127" s="27">
        <v>2500</v>
      </c>
      <c r="F127" s="14"/>
      <c r="G127" s="14">
        <v>36.46</v>
      </c>
      <c r="H127" s="14">
        <v>1029.6110710277201</v>
      </c>
      <c r="I127" s="14">
        <v>46470.833871774681</v>
      </c>
      <c r="J127" s="14">
        <v>530.59299861779982</v>
      </c>
    </row>
    <row r="128" spans="1:10" ht="24.95" customHeight="1" x14ac:dyDescent="0.25">
      <c r="A128" s="2" t="s">
        <v>289</v>
      </c>
      <c r="B128" s="2"/>
      <c r="C128" s="14">
        <f t="shared" si="12"/>
        <v>0.55598346602097304</v>
      </c>
      <c r="D128" s="14">
        <f t="shared" si="13"/>
        <v>2001.5404776755029</v>
      </c>
      <c r="E128" s="27">
        <v>2500</v>
      </c>
      <c r="F128" s="14"/>
      <c r="G128" s="14">
        <v>36.46</v>
      </c>
      <c r="H128" s="14">
        <v>1029.6110710277201</v>
      </c>
      <c r="I128" s="14">
        <v>46470.833871774681</v>
      </c>
      <c r="J128" s="14">
        <v>530.59299861779982</v>
      </c>
    </row>
    <row r="129" spans="1:10" ht="24.95" customHeight="1" x14ac:dyDescent="0.25">
      <c r="A129" s="2" t="s">
        <v>290</v>
      </c>
      <c r="B129" s="2"/>
      <c r="C129" s="14">
        <f t="shared" si="12"/>
        <v>0.55598346602097304</v>
      </c>
      <c r="D129" s="14">
        <f t="shared" si="13"/>
        <v>2001.5404776755029</v>
      </c>
      <c r="E129" s="27">
        <v>2500</v>
      </c>
      <c r="F129" s="14"/>
      <c r="G129" s="14">
        <v>36.46</v>
      </c>
      <c r="H129" s="14">
        <v>1029.6110710277201</v>
      </c>
      <c r="I129" s="14">
        <v>46470.833871774681</v>
      </c>
      <c r="J129" s="14">
        <v>530.59299861779982</v>
      </c>
    </row>
    <row r="130" spans="1:10" ht="24.95" customHeight="1" x14ac:dyDescent="0.25">
      <c r="A130" s="2" t="s">
        <v>291</v>
      </c>
      <c r="B130" s="2"/>
      <c r="C130" s="14">
        <f t="shared" si="12"/>
        <v>0.55598346602097304</v>
      </c>
      <c r="D130" s="14">
        <f t="shared" si="13"/>
        <v>2001.5404776755029</v>
      </c>
      <c r="E130" s="27">
        <v>2500</v>
      </c>
      <c r="F130" s="14"/>
      <c r="G130" s="14">
        <v>36.46</v>
      </c>
      <c r="H130" s="14">
        <v>1029.6110710277201</v>
      </c>
      <c r="I130" s="14">
        <v>46470.833871774681</v>
      </c>
      <c r="J130" s="14">
        <v>530.59299861779982</v>
      </c>
    </row>
    <row r="131" spans="1:10" ht="24.95" customHeight="1" x14ac:dyDescent="0.25">
      <c r="A131" s="2" t="s">
        <v>292</v>
      </c>
      <c r="B131" s="2"/>
      <c r="C131" s="14">
        <f t="shared" si="12"/>
        <v>0.55598346602097304</v>
      </c>
      <c r="D131" s="14">
        <f t="shared" si="13"/>
        <v>2001.5404776755029</v>
      </c>
      <c r="E131" s="27">
        <v>2500</v>
      </c>
      <c r="F131" s="14"/>
      <c r="G131" s="14">
        <v>36.46</v>
      </c>
      <c r="H131" s="14">
        <v>1029.6110710277201</v>
      </c>
      <c r="I131" s="14">
        <v>46470.833871774681</v>
      </c>
      <c r="J131" s="14">
        <v>530.59299861779982</v>
      </c>
    </row>
    <row r="132" spans="1:10" ht="24.95" customHeight="1" x14ac:dyDescent="0.25">
      <c r="A132" s="2" t="s">
        <v>293</v>
      </c>
      <c r="B132" s="2"/>
      <c r="C132" s="14">
        <f t="shared" si="12"/>
        <v>0.55598346602097304</v>
      </c>
      <c r="D132" s="14">
        <f t="shared" si="13"/>
        <v>2001.5404776755029</v>
      </c>
      <c r="E132" s="27">
        <v>2500</v>
      </c>
      <c r="F132" s="14"/>
      <c r="G132" s="14">
        <v>36.46</v>
      </c>
      <c r="H132" s="14">
        <v>1029.6110710277201</v>
      </c>
      <c r="I132" s="14">
        <v>46470.833871774681</v>
      </c>
      <c r="J132" s="14">
        <v>530.59299861779982</v>
      </c>
    </row>
    <row r="133" spans="1:10" ht="24.95" customHeight="1" x14ac:dyDescent="0.25">
      <c r="A133" s="2" t="s">
        <v>294</v>
      </c>
      <c r="B133" s="2"/>
      <c r="C133" s="14">
        <f t="shared" si="12"/>
        <v>0.55598346602097304</v>
      </c>
      <c r="D133" s="14">
        <f t="shared" si="13"/>
        <v>2001.5404776755029</v>
      </c>
      <c r="E133" s="27">
        <v>2500</v>
      </c>
      <c r="F133" s="14"/>
      <c r="G133" s="14">
        <v>36.46</v>
      </c>
      <c r="H133" s="14">
        <v>1029.6110710277201</v>
      </c>
      <c r="I133" s="14">
        <v>46470.833871774681</v>
      </c>
      <c r="J133" s="14">
        <v>530.59299861779982</v>
      </c>
    </row>
    <row r="134" spans="1:10" ht="24.95" customHeight="1" x14ac:dyDescent="0.25">
      <c r="A134" s="2" t="s">
        <v>295</v>
      </c>
      <c r="B134" s="2"/>
      <c r="C134" s="14">
        <f>$C$13+$C$39</f>
        <v>5.61</v>
      </c>
      <c r="D134" s="14">
        <f>C134*60*60</f>
        <v>20196</v>
      </c>
      <c r="E134" s="27">
        <v>2500</v>
      </c>
      <c r="F134" s="14"/>
      <c r="G134" s="14">
        <v>36.85</v>
      </c>
      <c r="H134" s="14">
        <v>1030.8207807598301</v>
      </c>
      <c r="I134" s="14">
        <v>48203.522399768837</v>
      </c>
      <c r="J134" s="14">
        <v>546.16752667679975</v>
      </c>
    </row>
    <row r="135" spans="1:10" ht="24.95" customHeight="1" x14ac:dyDescent="0.25">
      <c r="A135" s="2" t="s">
        <v>296</v>
      </c>
      <c r="B135" s="2"/>
      <c r="C135" s="14">
        <f t="shared" ref="C135:C144" si="14">$C$134/10</f>
        <v>0.56100000000000005</v>
      </c>
      <c r="D135" s="14">
        <f t="shared" ref="D135:D144" si="15">$D$134/10</f>
        <v>2019.6</v>
      </c>
      <c r="E135" s="27">
        <v>2500</v>
      </c>
      <c r="F135" s="14"/>
      <c r="G135" s="14">
        <v>36.85</v>
      </c>
      <c r="H135" s="14">
        <v>1030.8207807598301</v>
      </c>
      <c r="I135" s="14">
        <v>48203.522399768837</v>
      </c>
      <c r="J135" s="14">
        <v>546.16752667679975</v>
      </c>
    </row>
    <row r="136" spans="1:10" ht="24.95" customHeight="1" x14ac:dyDescent="0.25">
      <c r="A136" s="2" t="s">
        <v>297</v>
      </c>
      <c r="B136" s="2"/>
      <c r="C136" s="14">
        <f t="shared" si="14"/>
        <v>0.56100000000000005</v>
      </c>
      <c r="D136" s="14">
        <f t="shared" si="15"/>
        <v>2019.6</v>
      </c>
      <c r="E136" s="27">
        <v>2500</v>
      </c>
      <c r="F136" s="14"/>
      <c r="G136" s="14">
        <v>36.85</v>
      </c>
      <c r="H136" s="14">
        <v>1030.8207807598301</v>
      </c>
      <c r="I136" s="14">
        <v>48203.522399768837</v>
      </c>
      <c r="J136" s="14">
        <v>546.16752667679975</v>
      </c>
    </row>
    <row r="137" spans="1:10" ht="24.95" customHeight="1" x14ac:dyDescent="0.25">
      <c r="A137" s="2" t="s">
        <v>298</v>
      </c>
      <c r="B137" s="2"/>
      <c r="C137" s="14">
        <f t="shared" si="14"/>
        <v>0.56100000000000005</v>
      </c>
      <c r="D137" s="14">
        <f t="shared" si="15"/>
        <v>2019.6</v>
      </c>
      <c r="E137" s="27">
        <v>2500</v>
      </c>
      <c r="F137" s="14"/>
      <c r="G137" s="14">
        <v>36.85</v>
      </c>
      <c r="H137" s="14">
        <v>1030.8207807598301</v>
      </c>
      <c r="I137" s="14">
        <v>48203.522399768837</v>
      </c>
      <c r="J137" s="14">
        <v>546.16752667679975</v>
      </c>
    </row>
    <row r="138" spans="1:10" ht="24.95" customHeight="1" x14ac:dyDescent="0.25">
      <c r="A138" s="2" t="s">
        <v>299</v>
      </c>
      <c r="B138" s="2"/>
      <c r="C138" s="14">
        <f t="shared" si="14"/>
        <v>0.56100000000000005</v>
      </c>
      <c r="D138" s="14">
        <f t="shared" si="15"/>
        <v>2019.6</v>
      </c>
      <c r="E138" s="27">
        <v>2500</v>
      </c>
      <c r="F138" s="14"/>
      <c r="G138" s="14">
        <v>36.85</v>
      </c>
      <c r="H138" s="14">
        <v>1030.8207807598301</v>
      </c>
      <c r="I138" s="14">
        <v>48203.522399768837</v>
      </c>
      <c r="J138" s="14">
        <v>546.16752667679975</v>
      </c>
    </row>
    <row r="139" spans="1:10" ht="24.95" customHeight="1" x14ac:dyDescent="0.25">
      <c r="A139" s="2" t="s">
        <v>300</v>
      </c>
      <c r="B139" s="2"/>
      <c r="C139" s="14">
        <f t="shared" si="14"/>
        <v>0.56100000000000005</v>
      </c>
      <c r="D139" s="14">
        <f t="shared" si="15"/>
        <v>2019.6</v>
      </c>
      <c r="E139" s="27">
        <v>2500</v>
      </c>
      <c r="F139" s="14"/>
      <c r="G139" s="14">
        <v>36.85</v>
      </c>
      <c r="H139" s="14">
        <v>1030.8207807598301</v>
      </c>
      <c r="I139" s="14">
        <v>48203.522399768837</v>
      </c>
      <c r="J139" s="14">
        <v>546.16752667679975</v>
      </c>
    </row>
    <row r="140" spans="1:10" ht="24.95" customHeight="1" x14ac:dyDescent="0.25">
      <c r="A140" s="2" t="s">
        <v>301</v>
      </c>
      <c r="B140" s="2"/>
      <c r="C140" s="14">
        <f t="shared" si="14"/>
        <v>0.56100000000000005</v>
      </c>
      <c r="D140" s="14">
        <f t="shared" si="15"/>
        <v>2019.6</v>
      </c>
      <c r="E140" s="27">
        <v>2500</v>
      </c>
      <c r="F140" s="14"/>
      <c r="G140" s="14">
        <v>36.85</v>
      </c>
      <c r="H140" s="14">
        <v>1030.8207807598301</v>
      </c>
      <c r="I140" s="14">
        <v>48203.522399768837</v>
      </c>
      <c r="J140" s="14">
        <v>546.16752667679975</v>
      </c>
    </row>
    <row r="141" spans="1:10" ht="24.95" customHeight="1" x14ac:dyDescent="0.25">
      <c r="A141" s="2" t="s">
        <v>302</v>
      </c>
      <c r="B141" s="2"/>
      <c r="C141" s="14">
        <f t="shared" si="14"/>
        <v>0.56100000000000005</v>
      </c>
      <c r="D141" s="14">
        <f t="shared" si="15"/>
        <v>2019.6</v>
      </c>
      <c r="E141" s="27">
        <v>2500</v>
      </c>
      <c r="F141" s="14"/>
      <c r="G141" s="14">
        <v>36.85</v>
      </c>
      <c r="H141" s="14">
        <v>1030.8207807598301</v>
      </c>
      <c r="I141" s="14">
        <v>48203.522399768837</v>
      </c>
      <c r="J141" s="14">
        <v>546.16752667679975</v>
      </c>
    </row>
    <row r="142" spans="1:10" ht="24.95" customHeight="1" x14ac:dyDescent="0.25">
      <c r="A142" s="2" t="s">
        <v>303</v>
      </c>
      <c r="B142" s="2"/>
      <c r="C142" s="14">
        <f t="shared" si="14"/>
        <v>0.56100000000000005</v>
      </c>
      <c r="D142" s="14">
        <f t="shared" si="15"/>
        <v>2019.6</v>
      </c>
      <c r="E142" s="27">
        <v>2500</v>
      </c>
      <c r="F142" s="14"/>
      <c r="G142" s="14">
        <v>36.85</v>
      </c>
      <c r="H142" s="14">
        <v>1030.8207807598301</v>
      </c>
      <c r="I142" s="14">
        <v>48203.522399768837</v>
      </c>
      <c r="J142" s="14">
        <v>546.16752667679975</v>
      </c>
    </row>
    <row r="143" spans="1:10" ht="24.95" customHeight="1" x14ac:dyDescent="0.25">
      <c r="A143" s="2" t="s">
        <v>304</v>
      </c>
      <c r="B143" s="2"/>
      <c r="C143" s="14">
        <f t="shared" si="14"/>
        <v>0.56100000000000005</v>
      </c>
      <c r="D143" s="14">
        <f t="shared" si="15"/>
        <v>2019.6</v>
      </c>
      <c r="E143" s="27">
        <v>2500</v>
      </c>
      <c r="F143" s="14"/>
      <c r="G143" s="14">
        <v>36.85</v>
      </c>
      <c r="H143" s="14">
        <v>1030.8207807598301</v>
      </c>
      <c r="I143" s="14">
        <v>48203.522399768837</v>
      </c>
      <c r="J143" s="14">
        <v>546.16752667679975</v>
      </c>
    </row>
    <row r="144" spans="1:10" ht="24.95" customHeight="1" x14ac:dyDescent="0.25">
      <c r="A144" s="2" t="s">
        <v>305</v>
      </c>
      <c r="B144" s="2"/>
      <c r="C144" s="14">
        <f t="shared" si="14"/>
        <v>0.56100000000000005</v>
      </c>
      <c r="D144" s="14">
        <f t="shared" si="15"/>
        <v>2019.6</v>
      </c>
      <c r="E144" s="27">
        <v>2500</v>
      </c>
      <c r="F144" s="14"/>
      <c r="G144" s="14">
        <v>36.85</v>
      </c>
      <c r="H144" s="14">
        <v>1030.8207807598301</v>
      </c>
      <c r="I144" s="14">
        <v>48203.522399768837</v>
      </c>
      <c r="J144" s="14">
        <v>546.16752667679975</v>
      </c>
    </row>
    <row r="145" spans="1:10" ht="24.95" customHeight="1" x14ac:dyDescent="0.25">
      <c r="A145" s="2" t="s">
        <v>306</v>
      </c>
      <c r="B145" s="2"/>
      <c r="C145" s="14">
        <f>$C$14+$C$40</f>
        <v>5.61</v>
      </c>
      <c r="D145" s="14">
        <f>C145*60*60</f>
        <v>20196</v>
      </c>
      <c r="E145" s="27">
        <v>2500</v>
      </c>
      <c r="F145" s="14"/>
      <c r="G145" s="14">
        <v>36.85</v>
      </c>
      <c r="H145" s="14">
        <v>1030.8207807598301</v>
      </c>
      <c r="I145" s="14">
        <v>48203.522399768837</v>
      </c>
      <c r="J145" s="14">
        <v>546.16752667679975</v>
      </c>
    </row>
    <row r="146" spans="1:10" ht="24.95" customHeight="1" x14ac:dyDescent="0.25">
      <c r="A146" s="2" t="s">
        <v>307</v>
      </c>
      <c r="B146" s="2"/>
      <c r="C146" s="14">
        <f t="shared" ref="C146:C155" si="16">$C$145/10</f>
        <v>0.56100000000000005</v>
      </c>
      <c r="D146" s="14">
        <f t="shared" ref="D146:D155" si="17">$D$145/10</f>
        <v>2019.6</v>
      </c>
      <c r="E146" s="27">
        <v>2500</v>
      </c>
      <c r="F146" s="14"/>
      <c r="G146" s="14">
        <v>36.85</v>
      </c>
      <c r="H146" s="14">
        <v>1030.8207807598301</v>
      </c>
      <c r="I146" s="14">
        <v>48203.522399768837</v>
      </c>
      <c r="J146" s="14">
        <v>546.16752667679975</v>
      </c>
    </row>
    <row r="147" spans="1:10" ht="24.95" customHeight="1" x14ac:dyDescent="0.25">
      <c r="A147" s="2" t="s">
        <v>308</v>
      </c>
      <c r="B147" s="2"/>
      <c r="C147" s="14">
        <f t="shared" si="16"/>
        <v>0.56100000000000005</v>
      </c>
      <c r="D147" s="14">
        <f t="shared" si="17"/>
        <v>2019.6</v>
      </c>
      <c r="E147" s="27">
        <v>2500</v>
      </c>
      <c r="F147" s="14"/>
      <c r="G147" s="14">
        <v>36.85</v>
      </c>
      <c r="H147" s="14">
        <v>1030.8207807598301</v>
      </c>
      <c r="I147" s="14">
        <v>48203.522399768837</v>
      </c>
      <c r="J147" s="14">
        <v>546.16752667679975</v>
      </c>
    </row>
    <row r="148" spans="1:10" ht="24.95" customHeight="1" x14ac:dyDescent="0.25">
      <c r="A148" s="2" t="s">
        <v>309</v>
      </c>
      <c r="B148" s="2"/>
      <c r="C148" s="14">
        <f t="shared" si="16"/>
        <v>0.56100000000000005</v>
      </c>
      <c r="D148" s="14">
        <f t="shared" si="17"/>
        <v>2019.6</v>
      </c>
      <c r="E148" s="27">
        <v>2500</v>
      </c>
      <c r="F148" s="14"/>
      <c r="G148" s="14">
        <v>36.85</v>
      </c>
      <c r="H148" s="14">
        <v>1030.8207807598301</v>
      </c>
      <c r="I148" s="14">
        <v>48203.522399768837</v>
      </c>
      <c r="J148" s="14">
        <v>546.16752667679975</v>
      </c>
    </row>
    <row r="149" spans="1:10" ht="24.95" customHeight="1" x14ac:dyDescent="0.25">
      <c r="A149" s="2" t="s">
        <v>310</v>
      </c>
      <c r="B149" s="2"/>
      <c r="C149" s="14">
        <f t="shared" si="16"/>
        <v>0.56100000000000005</v>
      </c>
      <c r="D149" s="14">
        <f t="shared" si="17"/>
        <v>2019.6</v>
      </c>
      <c r="E149" s="27">
        <v>2500</v>
      </c>
      <c r="F149" s="14"/>
      <c r="G149" s="14">
        <v>36.85</v>
      </c>
      <c r="H149" s="14">
        <v>1030.8207807598301</v>
      </c>
      <c r="I149" s="14">
        <v>48203.522399768837</v>
      </c>
      <c r="J149" s="14">
        <v>546.16752667679975</v>
      </c>
    </row>
    <row r="150" spans="1:10" ht="24.95" customHeight="1" x14ac:dyDescent="0.25">
      <c r="A150" s="2" t="s">
        <v>311</v>
      </c>
      <c r="B150" s="2"/>
      <c r="C150" s="14">
        <f t="shared" si="16"/>
        <v>0.56100000000000005</v>
      </c>
      <c r="D150" s="14">
        <f t="shared" si="17"/>
        <v>2019.6</v>
      </c>
      <c r="E150" s="27">
        <v>2500</v>
      </c>
      <c r="F150" s="14"/>
      <c r="G150" s="14">
        <v>36.85</v>
      </c>
      <c r="H150" s="14">
        <v>1030.8207807598301</v>
      </c>
      <c r="I150" s="14">
        <v>48203.522399768837</v>
      </c>
      <c r="J150" s="14">
        <v>546.16752667679975</v>
      </c>
    </row>
    <row r="151" spans="1:10" ht="24.95" customHeight="1" x14ac:dyDescent="0.25">
      <c r="A151" s="2" t="s">
        <v>312</v>
      </c>
      <c r="B151" s="2"/>
      <c r="C151" s="14">
        <f t="shared" si="16"/>
        <v>0.56100000000000005</v>
      </c>
      <c r="D151" s="14">
        <f t="shared" si="17"/>
        <v>2019.6</v>
      </c>
      <c r="E151" s="27">
        <v>2500</v>
      </c>
      <c r="F151" s="14"/>
      <c r="G151" s="14">
        <v>36.85</v>
      </c>
      <c r="H151" s="14">
        <v>1030.8207807598301</v>
      </c>
      <c r="I151" s="14">
        <v>48203.522399768837</v>
      </c>
      <c r="J151" s="14">
        <v>546.16752667679975</v>
      </c>
    </row>
    <row r="152" spans="1:10" ht="24.95" customHeight="1" x14ac:dyDescent="0.25">
      <c r="A152" s="2" t="s">
        <v>313</v>
      </c>
      <c r="B152" s="2"/>
      <c r="C152" s="14">
        <f t="shared" si="16"/>
        <v>0.56100000000000005</v>
      </c>
      <c r="D152" s="14">
        <f t="shared" si="17"/>
        <v>2019.6</v>
      </c>
      <c r="E152" s="27">
        <v>2500</v>
      </c>
      <c r="F152" s="14"/>
      <c r="G152" s="14">
        <v>36.85</v>
      </c>
      <c r="H152" s="14">
        <v>1030.8207807598301</v>
      </c>
      <c r="I152" s="14">
        <v>48203.522399768837</v>
      </c>
      <c r="J152" s="14">
        <v>546.16752667679975</v>
      </c>
    </row>
    <row r="153" spans="1:10" ht="24.95" customHeight="1" x14ac:dyDescent="0.25">
      <c r="A153" s="2" t="s">
        <v>314</v>
      </c>
      <c r="B153" s="2"/>
      <c r="C153" s="14">
        <f t="shared" si="16"/>
        <v>0.56100000000000005</v>
      </c>
      <c r="D153" s="14">
        <f t="shared" si="17"/>
        <v>2019.6</v>
      </c>
      <c r="E153" s="27">
        <v>2500</v>
      </c>
      <c r="F153" s="14"/>
      <c r="G153" s="14">
        <v>36.85</v>
      </c>
      <c r="H153" s="14">
        <v>1030.8207807598301</v>
      </c>
      <c r="I153" s="14">
        <v>48203.522399768837</v>
      </c>
      <c r="J153" s="14">
        <v>546.16752667679975</v>
      </c>
    </row>
    <row r="154" spans="1:10" ht="24.95" customHeight="1" x14ac:dyDescent="0.25">
      <c r="A154" s="2" t="s">
        <v>315</v>
      </c>
      <c r="B154" s="2"/>
      <c r="C154" s="14">
        <f t="shared" si="16"/>
        <v>0.56100000000000005</v>
      </c>
      <c r="D154" s="14">
        <f t="shared" si="17"/>
        <v>2019.6</v>
      </c>
      <c r="E154" s="27">
        <v>2500</v>
      </c>
      <c r="F154" s="14"/>
      <c r="G154" s="14">
        <v>36.85</v>
      </c>
      <c r="H154" s="14">
        <v>1030.8207807598301</v>
      </c>
      <c r="I154" s="14">
        <v>48203.522399768837</v>
      </c>
      <c r="J154" s="14">
        <v>546.16752667679975</v>
      </c>
    </row>
    <row r="155" spans="1:10" ht="24.95" customHeight="1" x14ac:dyDescent="0.25">
      <c r="A155" s="2" t="s">
        <v>316</v>
      </c>
      <c r="B155" s="2"/>
      <c r="C155" s="14">
        <f t="shared" si="16"/>
        <v>0.56100000000000005</v>
      </c>
      <c r="D155" s="14">
        <f t="shared" si="17"/>
        <v>2019.6</v>
      </c>
      <c r="E155" s="27">
        <v>2500</v>
      </c>
      <c r="F155" s="14"/>
      <c r="G155" s="14">
        <v>36.85</v>
      </c>
      <c r="H155" s="14">
        <v>1030.8207807598301</v>
      </c>
      <c r="I155" s="14">
        <v>48203.522399768837</v>
      </c>
      <c r="J155" s="14">
        <v>546.16752667679975</v>
      </c>
    </row>
    <row r="156" spans="1:10" ht="24.95" customHeight="1" x14ac:dyDescent="0.25">
      <c r="A156" s="2" t="s">
        <v>317</v>
      </c>
      <c r="B156" s="2"/>
      <c r="C156" s="14">
        <f>$C$15+$C$41</f>
        <v>5.61</v>
      </c>
      <c r="D156" s="14">
        <f>C156*60*60</f>
        <v>20196</v>
      </c>
      <c r="E156" s="27">
        <v>2500</v>
      </c>
      <c r="F156" s="14"/>
      <c r="G156" s="14">
        <v>36.85</v>
      </c>
      <c r="H156" s="14">
        <v>1030.8207807598301</v>
      </c>
      <c r="I156" s="14">
        <v>48203.522399768837</v>
      </c>
      <c r="J156" s="14">
        <v>546.16752667679975</v>
      </c>
    </row>
    <row r="157" spans="1:10" ht="24.95" customHeight="1" x14ac:dyDescent="0.25">
      <c r="A157" s="2" t="s">
        <v>318</v>
      </c>
      <c r="B157" s="2"/>
      <c r="C157" s="14">
        <f t="shared" ref="C157:C166" si="18">$C$156/10</f>
        <v>0.56100000000000005</v>
      </c>
      <c r="D157" s="14">
        <f t="shared" ref="D157:D166" si="19">$D$156/10</f>
        <v>2019.6</v>
      </c>
      <c r="E157" s="27">
        <v>2500</v>
      </c>
      <c r="F157" s="14"/>
      <c r="G157" s="14">
        <v>36.85</v>
      </c>
      <c r="H157" s="14">
        <v>1030.8207807598301</v>
      </c>
      <c r="I157" s="14">
        <v>48203.522399768837</v>
      </c>
      <c r="J157" s="14">
        <v>546.16752667679975</v>
      </c>
    </row>
    <row r="158" spans="1:10" ht="24.95" customHeight="1" x14ac:dyDescent="0.25">
      <c r="A158" s="2" t="s">
        <v>319</v>
      </c>
      <c r="B158" s="2"/>
      <c r="C158" s="14">
        <f t="shared" si="18"/>
        <v>0.56100000000000005</v>
      </c>
      <c r="D158" s="14">
        <f t="shared" si="19"/>
        <v>2019.6</v>
      </c>
      <c r="E158" s="27">
        <v>2500</v>
      </c>
      <c r="F158" s="14"/>
      <c r="G158" s="14">
        <v>36.85</v>
      </c>
      <c r="H158" s="14">
        <v>1030.8207807598301</v>
      </c>
      <c r="I158" s="14">
        <v>48203.522399768837</v>
      </c>
      <c r="J158" s="14">
        <v>546.16752667679975</v>
      </c>
    </row>
    <row r="159" spans="1:10" ht="24.95" customHeight="1" x14ac:dyDescent="0.25">
      <c r="A159" s="2" t="s">
        <v>320</v>
      </c>
      <c r="B159" s="2"/>
      <c r="C159" s="14">
        <f t="shared" si="18"/>
        <v>0.56100000000000005</v>
      </c>
      <c r="D159" s="14">
        <f t="shared" si="19"/>
        <v>2019.6</v>
      </c>
      <c r="E159" s="27">
        <v>2500</v>
      </c>
      <c r="F159" s="14"/>
      <c r="G159" s="14">
        <v>36.85</v>
      </c>
      <c r="H159" s="14">
        <v>1030.8207807598301</v>
      </c>
      <c r="I159" s="14">
        <v>48203.522399768837</v>
      </c>
      <c r="J159" s="14">
        <v>546.16752667679975</v>
      </c>
    </row>
    <row r="160" spans="1:10" ht="24.95" customHeight="1" x14ac:dyDescent="0.25">
      <c r="A160" s="2" t="s">
        <v>321</v>
      </c>
      <c r="B160" s="2"/>
      <c r="C160" s="14">
        <f t="shared" si="18"/>
        <v>0.56100000000000005</v>
      </c>
      <c r="D160" s="14">
        <f t="shared" si="19"/>
        <v>2019.6</v>
      </c>
      <c r="E160" s="27">
        <v>2500</v>
      </c>
      <c r="F160" s="14"/>
      <c r="G160" s="14">
        <v>36.85</v>
      </c>
      <c r="H160" s="14">
        <v>1030.8207807598301</v>
      </c>
      <c r="I160" s="14">
        <v>48203.522399768837</v>
      </c>
      <c r="J160" s="14">
        <v>546.16752667679975</v>
      </c>
    </row>
    <row r="161" spans="1:10" ht="24.95" customHeight="1" x14ac:dyDescent="0.25">
      <c r="A161" s="2" t="s">
        <v>322</v>
      </c>
      <c r="B161" s="2"/>
      <c r="C161" s="14">
        <f t="shared" si="18"/>
        <v>0.56100000000000005</v>
      </c>
      <c r="D161" s="14">
        <f t="shared" si="19"/>
        <v>2019.6</v>
      </c>
      <c r="E161" s="27">
        <v>2500</v>
      </c>
      <c r="F161" s="14"/>
      <c r="G161" s="14">
        <v>36.85</v>
      </c>
      <c r="H161" s="14">
        <v>1030.8207807598301</v>
      </c>
      <c r="I161" s="14">
        <v>48203.522399768837</v>
      </c>
      <c r="J161" s="14">
        <v>546.16752667679975</v>
      </c>
    </row>
    <row r="162" spans="1:10" ht="24.95" customHeight="1" x14ac:dyDescent="0.25">
      <c r="A162" s="2" t="s">
        <v>323</v>
      </c>
      <c r="B162" s="2"/>
      <c r="C162" s="14">
        <f t="shared" si="18"/>
        <v>0.56100000000000005</v>
      </c>
      <c r="D162" s="14">
        <f t="shared" si="19"/>
        <v>2019.6</v>
      </c>
      <c r="E162" s="27">
        <v>2500</v>
      </c>
      <c r="F162" s="14"/>
      <c r="G162" s="14">
        <v>36.85</v>
      </c>
      <c r="H162" s="14">
        <v>1030.8207807598301</v>
      </c>
      <c r="I162" s="14">
        <v>48203.522399768837</v>
      </c>
      <c r="J162" s="14">
        <v>546.16752667679975</v>
      </c>
    </row>
    <row r="163" spans="1:10" ht="24.95" customHeight="1" x14ac:dyDescent="0.25">
      <c r="A163" s="2" t="s">
        <v>324</v>
      </c>
      <c r="B163" s="2"/>
      <c r="C163" s="14">
        <f t="shared" si="18"/>
        <v>0.56100000000000005</v>
      </c>
      <c r="D163" s="14">
        <f t="shared" si="19"/>
        <v>2019.6</v>
      </c>
      <c r="E163" s="27">
        <v>2500</v>
      </c>
      <c r="F163" s="14"/>
      <c r="G163" s="14">
        <v>36.85</v>
      </c>
      <c r="H163" s="14">
        <v>1030.8207807598301</v>
      </c>
      <c r="I163" s="14">
        <v>48203.522399768837</v>
      </c>
      <c r="J163" s="14">
        <v>546.16752667679975</v>
      </c>
    </row>
    <row r="164" spans="1:10" ht="24.95" customHeight="1" x14ac:dyDescent="0.25">
      <c r="A164" s="2" t="s">
        <v>325</v>
      </c>
      <c r="B164" s="2"/>
      <c r="C164" s="14">
        <f t="shared" si="18"/>
        <v>0.56100000000000005</v>
      </c>
      <c r="D164" s="14">
        <f t="shared" si="19"/>
        <v>2019.6</v>
      </c>
      <c r="E164" s="27">
        <v>2500</v>
      </c>
      <c r="F164" s="14"/>
      <c r="G164" s="14">
        <v>36.85</v>
      </c>
      <c r="H164" s="14">
        <v>1030.8207807598301</v>
      </c>
      <c r="I164" s="14">
        <v>48203.522399768837</v>
      </c>
      <c r="J164" s="14">
        <v>546.16752667679975</v>
      </c>
    </row>
    <row r="165" spans="1:10" ht="24.95" customHeight="1" x14ac:dyDescent="0.25">
      <c r="A165" s="2" t="s">
        <v>326</v>
      </c>
      <c r="B165" s="2"/>
      <c r="C165" s="14">
        <f t="shared" si="18"/>
        <v>0.56100000000000005</v>
      </c>
      <c r="D165" s="14">
        <f t="shared" si="19"/>
        <v>2019.6</v>
      </c>
      <c r="E165" s="27">
        <v>2500</v>
      </c>
      <c r="F165" s="14"/>
      <c r="G165" s="14">
        <v>36.85</v>
      </c>
      <c r="H165" s="14">
        <v>1030.8207807598301</v>
      </c>
      <c r="I165" s="14">
        <v>48203.522399768837</v>
      </c>
      <c r="J165" s="14">
        <v>546.16752667679975</v>
      </c>
    </row>
    <row r="166" spans="1:10" ht="24.95" customHeight="1" x14ac:dyDescent="0.25">
      <c r="A166" s="2" t="s">
        <v>327</v>
      </c>
      <c r="B166" s="2"/>
      <c r="C166" s="14">
        <f t="shared" si="18"/>
        <v>0.56100000000000005</v>
      </c>
      <c r="D166" s="14">
        <f t="shared" si="19"/>
        <v>2019.6</v>
      </c>
      <c r="E166" s="27">
        <v>2500</v>
      </c>
      <c r="F166" s="14"/>
      <c r="G166" s="14">
        <v>36.85</v>
      </c>
      <c r="H166" s="14">
        <v>1030.8207807598301</v>
      </c>
      <c r="I166" s="14">
        <v>48203.522399768837</v>
      </c>
      <c r="J166" s="14">
        <v>546.16752667679975</v>
      </c>
    </row>
    <row r="167" spans="1:10" ht="24.95" customHeight="1" x14ac:dyDescent="0.25">
      <c r="A167" s="2" t="s">
        <v>328</v>
      </c>
      <c r="B167" s="2"/>
      <c r="C167" s="14">
        <f>$C$18+$C$42</f>
        <v>5.8266666666666662</v>
      </c>
      <c r="D167" s="14">
        <f>C167*60*60</f>
        <v>20975.999999999996</v>
      </c>
      <c r="E167" s="27">
        <v>2500</v>
      </c>
      <c r="F167" s="14"/>
      <c r="G167" s="14">
        <v>35.200000000000003</v>
      </c>
      <c r="H167" s="14">
        <v>1030.7581538188001</v>
      </c>
      <c r="I167" s="14">
        <v>47344.360003180736</v>
      </c>
      <c r="J167" s="14">
        <v>532.69506999959958</v>
      </c>
    </row>
    <row r="168" spans="1:10" ht="24.95" customHeight="1" x14ac:dyDescent="0.25">
      <c r="A168" s="2" t="s">
        <v>329</v>
      </c>
      <c r="B168" s="2"/>
      <c r="C168" s="14">
        <f t="shared" ref="C168:C177" si="20">$C$167/10</f>
        <v>0.58266666666666667</v>
      </c>
      <c r="D168" s="14">
        <f t="shared" ref="D168:D177" si="21">$D$167/10</f>
        <v>2097.5999999999995</v>
      </c>
      <c r="E168" s="27">
        <v>2500</v>
      </c>
      <c r="F168" s="14"/>
      <c r="G168" s="14">
        <v>35.200000000000003</v>
      </c>
      <c r="H168" s="14">
        <v>1030.7581538188001</v>
      </c>
      <c r="I168" s="14">
        <v>47344.360003180736</v>
      </c>
      <c r="J168" s="14">
        <v>532.69506999959958</v>
      </c>
    </row>
    <row r="169" spans="1:10" ht="24.95" customHeight="1" x14ac:dyDescent="0.25">
      <c r="A169" s="2" t="s">
        <v>330</v>
      </c>
      <c r="B169" s="2"/>
      <c r="C169" s="14">
        <f t="shared" si="20"/>
        <v>0.58266666666666667</v>
      </c>
      <c r="D169" s="14">
        <f t="shared" si="21"/>
        <v>2097.5999999999995</v>
      </c>
      <c r="E169" s="27">
        <v>2500</v>
      </c>
      <c r="F169" s="14"/>
      <c r="G169" s="14">
        <v>35.200000000000003</v>
      </c>
      <c r="H169" s="14">
        <v>1030.7581538188001</v>
      </c>
      <c r="I169" s="14">
        <v>47344.360003180736</v>
      </c>
      <c r="J169" s="14">
        <v>532.69506999959958</v>
      </c>
    </row>
    <row r="170" spans="1:10" ht="24.95" customHeight="1" x14ac:dyDescent="0.25">
      <c r="A170" s="2" t="s">
        <v>331</v>
      </c>
      <c r="B170" s="2"/>
      <c r="C170" s="14">
        <f t="shared" si="20"/>
        <v>0.58266666666666667</v>
      </c>
      <c r="D170" s="14">
        <f t="shared" si="21"/>
        <v>2097.5999999999995</v>
      </c>
      <c r="E170" s="27">
        <v>2500</v>
      </c>
      <c r="F170" s="14"/>
      <c r="G170" s="14">
        <v>35.200000000000003</v>
      </c>
      <c r="H170" s="14">
        <v>1030.7581538188001</v>
      </c>
      <c r="I170" s="14">
        <v>47344.360003180736</v>
      </c>
      <c r="J170" s="14">
        <v>532.69506999959958</v>
      </c>
    </row>
    <row r="171" spans="1:10" ht="24.95" customHeight="1" x14ac:dyDescent="0.25">
      <c r="A171" s="2" t="s">
        <v>332</v>
      </c>
      <c r="B171" s="2"/>
      <c r="C171" s="14">
        <f t="shared" si="20"/>
        <v>0.58266666666666667</v>
      </c>
      <c r="D171" s="14">
        <f t="shared" si="21"/>
        <v>2097.5999999999995</v>
      </c>
      <c r="E171" s="27">
        <v>2500</v>
      </c>
      <c r="F171" s="14"/>
      <c r="G171" s="14">
        <v>35.200000000000003</v>
      </c>
      <c r="H171" s="14">
        <v>1030.7581538188001</v>
      </c>
      <c r="I171" s="14">
        <v>47344.360003180736</v>
      </c>
      <c r="J171" s="14">
        <v>532.69506999959958</v>
      </c>
    </row>
    <row r="172" spans="1:10" ht="24.95" customHeight="1" x14ac:dyDescent="0.25">
      <c r="A172" s="2" t="s">
        <v>333</v>
      </c>
      <c r="B172" s="2"/>
      <c r="C172" s="14">
        <f t="shared" si="20"/>
        <v>0.58266666666666667</v>
      </c>
      <c r="D172" s="14">
        <f t="shared" si="21"/>
        <v>2097.5999999999995</v>
      </c>
      <c r="E172" s="27">
        <v>2500</v>
      </c>
      <c r="F172" s="14"/>
      <c r="G172" s="14">
        <v>35.200000000000003</v>
      </c>
      <c r="H172" s="14">
        <v>1030.7581538188001</v>
      </c>
      <c r="I172" s="14">
        <v>47344.360003180736</v>
      </c>
      <c r="J172" s="14">
        <v>532.69506999959958</v>
      </c>
    </row>
    <row r="173" spans="1:10" ht="24.95" customHeight="1" x14ac:dyDescent="0.25">
      <c r="A173" s="2" t="s">
        <v>334</v>
      </c>
      <c r="B173" s="2"/>
      <c r="C173" s="14">
        <f t="shared" si="20"/>
        <v>0.58266666666666667</v>
      </c>
      <c r="D173" s="14">
        <f t="shared" si="21"/>
        <v>2097.5999999999995</v>
      </c>
      <c r="E173" s="27">
        <v>2500</v>
      </c>
      <c r="F173" s="14"/>
      <c r="G173" s="14">
        <v>35.200000000000003</v>
      </c>
      <c r="H173" s="14">
        <v>1030.7581538188001</v>
      </c>
      <c r="I173" s="14">
        <v>47344.360003180736</v>
      </c>
      <c r="J173" s="14">
        <v>532.69506999959958</v>
      </c>
    </row>
    <row r="174" spans="1:10" ht="24.95" customHeight="1" x14ac:dyDescent="0.25">
      <c r="A174" s="2" t="s">
        <v>335</v>
      </c>
      <c r="B174" s="2"/>
      <c r="C174" s="14">
        <f t="shared" si="20"/>
        <v>0.58266666666666667</v>
      </c>
      <c r="D174" s="14">
        <f t="shared" si="21"/>
        <v>2097.5999999999995</v>
      </c>
      <c r="E174" s="27">
        <v>2500</v>
      </c>
      <c r="F174" s="14"/>
      <c r="G174" s="14">
        <v>35.200000000000003</v>
      </c>
      <c r="H174" s="14">
        <v>1030.7581538188001</v>
      </c>
      <c r="I174" s="14">
        <v>47344.360003180736</v>
      </c>
      <c r="J174" s="14">
        <v>532.69506999959958</v>
      </c>
    </row>
    <row r="175" spans="1:10" ht="24.95" customHeight="1" x14ac:dyDescent="0.25">
      <c r="A175" s="2" t="s">
        <v>336</v>
      </c>
      <c r="B175" s="2"/>
      <c r="C175" s="14">
        <f t="shared" si="20"/>
        <v>0.58266666666666667</v>
      </c>
      <c r="D175" s="14">
        <f t="shared" si="21"/>
        <v>2097.5999999999995</v>
      </c>
      <c r="E175" s="27">
        <v>2500</v>
      </c>
      <c r="F175" s="14"/>
      <c r="G175" s="14">
        <v>35.200000000000003</v>
      </c>
      <c r="H175" s="14">
        <v>1030.7581538188001</v>
      </c>
      <c r="I175" s="14">
        <v>47344.360003180736</v>
      </c>
      <c r="J175" s="14">
        <v>532.69506999959958</v>
      </c>
    </row>
    <row r="176" spans="1:10" ht="24.95" customHeight="1" x14ac:dyDescent="0.25">
      <c r="A176" s="2" t="s">
        <v>337</v>
      </c>
      <c r="B176" s="2"/>
      <c r="C176" s="14">
        <f t="shared" si="20"/>
        <v>0.58266666666666667</v>
      </c>
      <c r="D176" s="14">
        <f t="shared" si="21"/>
        <v>2097.5999999999995</v>
      </c>
      <c r="E176" s="27">
        <v>2500</v>
      </c>
      <c r="F176" s="14"/>
      <c r="G176" s="14">
        <v>35.200000000000003</v>
      </c>
      <c r="H176" s="14">
        <v>1030.7581538188001</v>
      </c>
      <c r="I176" s="14">
        <v>47344.360003180736</v>
      </c>
      <c r="J176" s="14">
        <v>532.69506999959958</v>
      </c>
    </row>
    <row r="177" spans="1:10" ht="24.95" customHeight="1" x14ac:dyDescent="0.25">
      <c r="A177" s="2" t="s">
        <v>338</v>
      </c>
      <c r="B177" s="2"/>
      <c r="C177" s="14">
        <f t="shared" si="20"/>
        <v>0.58266666666666667</v>
      </c>
      <c r="D177" s="14">
        <f t="shared" si="21"/>
        <v>2097.5999999999995</v>
      </c>
      <c r="E177" s="27">
        <v>2500</v>
      </c>
      <c r="F177" s="14"/>
      <c r="G177" s="14">
        <v>35.200000000000003</v>
      </c>
      <c r="H177" s="14">
        <v>1030.7581538188001</v>
      </c>
      <c r="I177" s="14">
        <v>47344.360003180736</v>
      </c>
      <c r="J177" s="14">
        <v>532.69506999959958</v>
      </c>
    </row>
    <row r="178" spans="1:10" ht="24.95" customHeight="1" x14ac:dyDescent="0.25">
      <c r="A178" s="2" t="s">
        <v>339</v>
      </c>
      <c r="B178" s="2"/>
      <c r="C178" s="14">
        <f>$C$19+$C$43</f>
        <v>5.8266666666666662</v>
      </c>
      <c r="D178" s="14">
        <f>C178*60*60</f>
        <v>20975.999999999996</v>
      </c>
      <c r="E178" s="27">
        <v>2500</v>
      </c>
      <c r="F178" s="14"/>
      <c r="G178" s="14">
        <v>35.200000000000003</v>
      </c>
      <c r="H178" s="14">
        <v>1030.7581538188001</v>
      </c>
      <c r="I178" s="14">
        <v>47344.360003180736</v>
      </c>
      <c r="J178" s="14">
        <v>532.69506999959958</v>
      </c>
    </row>
    <row r="179" spans="1:10" ht="24.95" customHeight="1" x14ac:dyDescent="0.25">
      <c r="A179" s="2" t="s">
        <v>340</v>
      </c>
      <c r="B179" s="2"/>
      <c r="C179" s="14">
        <f t="shared" ref="C179:C188" si="22">$C$178/10</f>
        <v>0.58266666666666667</v>
      </c>
      <c r="D179" s="14">
        <f t="shared" ref="D179:D188" si="23">$D$178/10</f>
        <v>2097.5999999999995</v>
      </c>
      <c r="E179" s="27">
        <v>2500</v>
      </c>
      <c r="F179" s="14"/>
      <c r="G179" s="14">
        <v>35.200000000000003</v>
      </c>
      <c r="H179" s="14">
        <v>1030.7581538188001</v>
      </c>
      <c r="I179" s="14">
        <v>47344.360003180736</v>
      </c>
      <c r="J179" s="14">
        <v>532.69506999959958</v>
      </c>
    </row>
    <row r="180" spans="1:10" ht="24.95" customHeight="1" x14ac:dyDescent="0.25">
      <c r="A180" s="2" t="s">
        <v>341</v>
      </c>
      <c r="B180" s="2"/>
      <c r="C180" s="14">
        <f t="shared" si="22"/>
        <v>0.58266666666666667</v>
      </c>
      <c r="D180" s="14">
        <f t="shared" si="23"/>
        <v>2097.5999999999995</v>
      </c>
      <c r="E180" s="27">
        <v>2500</v>
      </c>
      <c r="F180" s="14"/>
      <c r="G180" s="14">
        <v>35.200000000000003</v>
      </c>
      <c r="H180" s="14">
        <v>1030.7581538188001</v>
      </c>
      <c r="I180" s="14">
        <v>47344.360003180736</v>
      </c>
      <c r="J180" s="14">
        <v>532.69506999959958</v>
      </c>
    </row>
    <row r="181" spans="1:10" ht="24.95" customHeight="1" x14ac:dyDescent="0.25">
      <c r="A181" s="2" t="s">
        <v>342</v>
      </c>
      <c r="B181" s="2"/>
      <c r="C181" s="14">
        <f t="shared" si="22"/>
        <v>0.58266666666666667</v>
      </c>
      <c r="D181" s="14">
        <f t="shared" si="23"/>
        <v>2097.5999999999995</v>
      </c>
      <c r="E181" s="27">
        <v>2500</v>
      </c>
      <c r="F181" s="14"/>
      <c r="G181" s="14">
        <v>35.200000000000003</v>
      </c>
      <c r="H181" s="14">
        <v>1030.7581538188001</v>
      </c>
      <c r="I181" s="14">
        <v>47344.360003180736</v>
      </c>
      <c r="J181" s="14">
        <v>532.69506999959958</v>
      </c>
    </row>
    <row r="182" spans="1:10" ht="24.95" customHeight="1" x14ac:dyDescent="0.25">
      <c r="A182" s="2" t="s">
        <v>343</v>
      </c>
      <c r="B182" s="2"/>
      <c r="C182" s="14">
        <f t="shared" si="22"/>
        <v>0.58266666666666667</v>
      </c>
      <c r="D182" s="14">
        <f t="shared" si="23"/>
        <v>2097.5999999999995</v>
      </c>
      <c r="E182" s="27">
        <v>2500</v>
      </c>
      <c r="F182" s="14"/>
      <c r="G182" s="14">
        <v>35.200000000000003</v>
      </c>
      <c r="H182" s="14">
        <v>1030.7581538188001</v>
      </c>
      <c r="I182" s="14">
        <v>47344.360003180736</v>
      </c>
      <c r="J182" s="14">
        <v>532.69506999959958</v>
      </c>
    </row>
    <row r="183" spans="1:10" ht="24.95" customHeight="1" x14ac:dyDescent="0.25">
      <c r="A183" s="2" t="s">
        <v>344</v>
      </c>
      <c r="B183" s="2"/>
      <c r="C183" s="14">
        <f t="shared" si="22"/>
        <v>0.58266666666666667</v>
      </c>
      <c r="D183" s="14">
        <f t="shared" si="23"/>
        <v>2097.5999999999995</v>
      </c>
      <c r="E183" s="27">
        <v>2500</v>
      </c>
      <c r="F183" s="14"/>
      <c r="G183" s="14">
        <v>35.200000000000003</v>
      </c>
      <c r="H183" s="14">
        <v>1030.7581538188001</v>
      </c>
      <c r="I183" s="14">
        <v>47344.360003180736</v>
      </c>
      <c r="J183" s="14">
        <v>532.69506999959958</v>
      </c>
    </row>
    <row r="184" spans="1:10" ht="24.95" customHeight="1" x14ac:dyDescent="0.25">
      <c r="A184" s="2" t="s">
        <v>345</v>
      </c>
      <c r="B184" s="2"/>
      <c r="C184" s="14">
        <f t="shared" si="22"/>
        <v>0.58266666666666667</v>
      </c>
      <c r="D184" s="14">
        <f t="shared" si="23"/>
        <v>2097.5999999999995</v>
      </c>
      <c r="E184" s="27">
        <v>2500</v>
      </c>
      <c r="F184" s="14"/>
      <c r="G184" s="14">
        <v>35.200000000000003</v>
      </c>
      <c r="H184" s="14">
        <v>1030.7581538188001</v>
      </c>
      <c r="I184" s="14">
        <v>47344.360003180736</v>
      </c>
      <c r="J184" s="14">
        <v>532.69506999959958</v>
      </c>
    </row>
    <row r="185" spans="1:10" ht="24.95" customHeight="1" x14ac:dyDescent="0.25">
      <c r="A185" s="2" t="s">
        <v>346</v>
      </c>
      <c r="B185" s="2"/>
      <c r="C185" s="14">
        <f t="shared" si="22"/>
        <v>0.58266666666666667</v>
      </c>
      <c r="D185" s="14">
        <f t="shared" si="23"/>
        <v>2097.5999999999995</v>
      </c>
      <c r="E185" s="27">
        <v>2500</v>
      </c>
      <c r="F185" s="14"/>
      <c r="G185" s="14">
        <v>35.200000000000003</v>
      </c>
      <c r="H185" s="14">
        <v>1030.7581538188001</v>
      </c>
      <c r="I185" s="14">
        <v>47344.360003180736</v>
      </c>
      <c r="J185" s="14">
        <v>532.69506999959958</v>
      </c>
    </row>
    <row r="186" spans="1:10" ht="24.95" customHeight="1" x14ac:dyDescent="0.25">
      <c r="A186" s="2" t="s">
        <v>347</v>
      </c>
      <c r="B186" s="2"/>
      <c r="C186" s="14">
        <f t="shared" si="22"/>
        <v>0.58266666666666667</v>
      </c>
      <c r="D186" s="14">
        <f t="shared" si="23"/>
        <v>2097.5999999999995</v>
      </c>
      <c r="E186" s="27">
        <v>2500</v>
      </c>
      <c r="F186" s="14"/>
      <c r="G186" s="14">
        <v>35.200000000000003</v>
      </c>
      <c r="H186" s="14">
        <v>1030.7581538188001</v>
      </c>
      <c r="I186" s="14">
        <v>47344.360003180736</v>
      </c>
      <c r="J186" s="14">
        <v>532.69506999959958</v>
      </c>
    </row>
    <row r="187" spans="1:10" ht="24.95" customHeight="1" x14ac:dyDescent="0.25">
      <c r="A187" s="2" t="s">
        <v>348</v>
      </c>
      <c r="B187" s="2"/>
      <c r="C187" s="14">
        <f t="shared" si="22"/>
        <v>0.58266666666666667</v>
      </c>
      <c r="D187" s="14">
        <f t="shared" si="23"/>
        <v>2097.5999999999995</v>
      </c>
      <c r="E187" s="27">
        <v>2500</v>
      </c>
      <c r="F187" s="14"/>
      <c r="G187" s="14">
        <v>35.200000000000003</v>
      </c>
      <c r="H187" s="14">
        <v>1030.7581538188001</v>
      </c>
      <c r="I187" s="14">
        <v>47344.360003180736</v>
      </c>
      <c r="J187" s="14">
        <v>532.69506999959958</v>
      </c>
    </row>
    <row r="188" spans="1:10" ht="24.95" customHeight="1" x14ac:dyDescent="0.25">
      <c r="A188" s="2" t="s">
        <v>349</v>
      </c>
      <c r="B188" s="2"/>
      <c r="C188" s="14">
        <f t="shared" si="22"/>
        <v>0.58266666666666667</v>
      </c>
      <c r="D188" s="14">
        <f t="shared" si="23"/>
        <v>2097.5999999999995</v>
      </c>
      <c r="E188" s="27">
        <v>2500</v>
      </c>
      <c r="F188" s="14"/>
      <c r="G188" s="14">
        <v>35.200000000000003</v>
      </c>
      <c r="H188" s="14">
        <v>1030.7581538188001</v>
      </c>
      <c r="I188" s="14">
        <v>47344.360003180736</v>
      </c>
      <c r="J188" s="14">
        <v>532.69506999959958</v>
      </c>
    </row>
    <row r="189" spans="1:10" ht="24.95" customHeight="1" x14ac:dyDescent="0.25">
      <c r="A189" s="2" t="s">
        <v>350</v>
      </c>
      <c r="B189" s="2"/>
      <c r="C189" s="14">
        <f>$C$20+$C$44</f>
        <v>5.8266666666666662</v>
      </c>
      <c r="D189" s="14">
        <f>C189*60*60</f>
        <v>20975.999999999996</v>
      </c>
      <c r="E189" s="27">
        <v>2500</v>
      </c>
      <c r="F189" s="14"/>
      <c r="G189" s="14">
        <v>35.200000000000003</v>
      </c>
      <c r="H189" s="14">
        <v>1030.7581538188001</v>
      </c>
      <c r="I189" s="14">
        <v>47344.360003180736</v>
      </c>
      <c r="J189" s="14">
        <v>532.69506999959958</v>
      </c>
    </row>
    <row r="190" spans="1:10" ht="24.95" customHeight="1" x14ac:dyDescent="0.25">
      <c r="A190" s="2" t="s">
        <v>351</v>
      </c>
      <c r="B190" s="2"/>
      <c r="C190" s="14">
        <f t="shared" ref="C190:C195" si="24">$C$189/6</f>
        <v>0.97111111111111104</v>
      </c>
      <c r="D190" s="14">
        <f t="shared" ref="D190:D195" si="25">$D$189/6</f>
        <v>3495.9999999999995</v>
      </c>
      <c r="E190" s="27">
        <v>2500</v>
      </c>
      <c r="F190" s="14"/>
      <c r="G190" s="14">
        <v>35.200000000000003</v>
      </c>
      <c r="H190" s="14">
        <v>1030.7581538188001</v>
      </c>
      <c r="I190" s="14">
        <v>47344.360003180736</v>
      </c>
      <c r="J190" s="14">
        <v>532.69506999959958</v>
      </c>
    </row>
    <row r="191" spans="1:10" ht="24.95" customHeight="1" x14ac:dyDescent="0.25">
      <c r="A191" s="2" t="s">
        <v>352</v>
      </c>
      <c r="B191" s="2"/>
      <c r="C191" s="14">
        <f t="shared" si="24"/>
        <v>0.97111111111111104</v>
      </c>
      <c r="D191" s="14">
        <f t="shared" si="25"/>
        <v>3495.9999999999995</v>
      </c>
      <c r="E191" s="27">
        <v>2500</v>
      </c>
      <c r="F191" s="14"/>
      <c r="G191" s="14">
        <v>35.200000000000003</v>
      </c>
      <c r="H191" s="14">
        <v>1030.7581538188001</v>
      </c>
      <c r="I191" s="14">
        <v>47344.360003180736</v>
      </c>
      <c r="J191" s="14">
        <v>532.69506999959958</v>
      </c>
    </row>
    <row r="192" spans="1:10" ht="24.95" customHeight="1" x14ac:dyDescent="0.25">
      <c r="A192" s="2" t="s">
        <v>353</v>
      </c>
      <c r="B192" s="2"/>
      <c r="C192" s="14">
        <f t="shared" si="24"/>
        <v>0.97111111111111104</v>
      </c>
      <c r="D192" s="14">
        <f t="shared" si="25"/>
        <v>3495.9999999999995</v>
      </c>
      <c r="E192" s="27">
        <v>2500</v>
      </c>
      <c r="F192" s="14"/>
      <c r="G192" s="14">
        <v>35.200000000000003</v>
      </c>
      <c r="H192" s="14">
        <v>1030.7581538188001</v>
      </c>
      <c r="I192" s="14">
        <v>47344.360003180736</v>
      </c>
      <c r="J192" s="14">
        <v>532.69506999959958</v>
      </c>
    </row>
    <row r="193" spans="1:10" ht="24.95" customHeight="1" x14ac:dyDescent="0.25">
      <c r="A193" s="2" t="s">
        <v>354</v>
      </c>
      <c r="B193" s="2"/>
      <c r="C193" s="14">
        <f t="shared" si="24"/>
        <v>0.97111111111111104</v>
      </c>
      <c r="D193" s="14">
        <f t="shared" si="25"/>
        <v>3495.9999999999995</v>
      </c>
      <c r="E193" s="27">
        <v>2500</v>
      </c>
      <c r="F193" s="14"/>
      <c r="G193" s="14">
        <v>35.200000000000003</v>
      </c>
      <c r="H193" s="14">
        <v>1030.7581538188001</v>
      </c>
      <c r="I193" s="14">
        <v>47344.360003180736</v>
      </c>
      <c r="J193" s="14">
        <v>532.69506999959958</v>
      </c>
    </row>
    <row r="194" spans="1:10" ht="24.95" customHeight="1" x14ac:dyDescent="0.25">
      <c r="A194" s="2" t="s">
        <v>355</v>
      </c>
      <c r="B194" s="2"/>
      <c r="C194" s="14">
        <f t="shared" si="24"/>
        <v>0.97111111111111104</v>
      </c>
      <c r="D194" s="14">
        <f t="shared" si="25"/>
        <v>3495.9999999999995</v>
      </c>
      <c r="E194" s="27">
        <v>2500</v>
      </c>
      <c r="F194" s="14"/>
      <c r="G194" s="14">
        <v>35.200000000000003</v>
      </c>
      <c r="H194" s="14">
        <v>1030.7581538188001</v>
      </c>
      <c r="I194" s="14">
        <v>47344.360003180736</v>
      </c>
      <c r="J194" s="14">
        <v>532.69506999959958</v>
      </c>
    </row>
    <row r="195" spans="1:10" ht="24.95" customHeight="1" x14ac:dyDescent="0.25">
      <c r="A195" s="2" t="s">
        <v>356</v>
      </c>
      <c r="B195" s="2"/>
      <c r="C195" s="14">
        <f t="shared" si="24"/>
        <v>0.97111111111111104</v>
      </c>
      <c r="D195" s="14">
        <f t="shared" si="25"/>
        <v>3495.9999999999995</v>
      </c>
      <c r="E195" s="27">
        <v>2500</v>
      </c>
      <c r="F195" s="14"/>
      <c r="G195" s="14">
        <v>35.200000000000003</v>
      </c>
      <c r="H195" s="14">
        <v>1030.7581538188001</v>
      </c>
      <c r="I195" s="14">
        <v>47344.360003180736</v>
      </c>
      <c r="J195" s="14">
        <v>532.69506999959958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opLeftCell="A16" workbookViewId="0">
      <selection activeCell="B32" sqref="B32"/>
    </sheetView>
  </sheetViews>
  <sheetFormatPr defaultRowHeight="30" customHeight="1" x14ac:dyDescent="0.25"/>
  <cols>
    <col min="1" max="1" width="31.140625" style="4" bestFit="1" customWidth="1"/>
    <col min="2" max="3" width="20" style="4" bestFit="1" customWidth="1"/>
    <col min="4" max="4" width="24.5703125" style="4" bestFit="1" customWidth="1"/>
    <col min="5" max="5" width="12.140625" style="4" customWidth="1"/>
    <col min="6" max="9" width="13.85546875" style="4" customWidth="1"/>
    <col min="10" max="10" width="12.5703125" style="4" customWidth="1"/>
    <col min="11" max="12" width="11.28515625" style="4" bestFit="1" customWidth="1"/>
    <col min="13" max="13" width="12.28515625" style="4" bestFit="1" customWidth="1"/>
    <col min="14" max="14" width="9.140625" style="4" customWidth="1"/>
    <col min="15" max="16384" width="9.140625" style="4"/>
  </cols>
  <sheetData>
    <row r="1" spans="1:13" ht="30" customHeight="1" x14ac:dyDescent="0.25">
      <c r="A1" s="7" t="s">
        <v>357</v>
      </c>
      <c r="B1" s="7" t="s">
        <v>358</v>
      </c>
      <c r="C1" s="7" t="s">
        <v>359</v>
      </c>
      <c r="D1" s="7" t="s">
        <v>360</v>
      </c>
      <c r="E1" s="36" t="s">
        <v>361</v>
      </c>
      <c r="F1" s="36" t="s">
        <v>362</v>
      </c>
      <c r="G1" s="36" t="s">
        <v>363</v>
      </c>
      <c r="H1" s="36" t="s">
        <v>364</v>
      </c>
      <c r="I1" s="36" t="s">
        <v>365</v>
      </c>
      <c r="J1" s="7" t="s">
        <v>366</v>
      </c>
      <c r="K1" s="7" t="s">
        <v>367</v>
      </c>
      <c r="L1" s="7" t="s">
        <v>368</v>
      </c>
      <c r="M1" s="7" t="s">
        <v>369</v>
      </c>
    </row>
    <row r="2" spans="1:13" ht="30" customHeight="1" x14ac:dyDescent="0.25">
      <c r="A2" s="7" t="s">
        <v>370</v>
      </c>
      <c r="B2" s="7"/>
      <c r="C2" s="22" t="s">
        <v>127</v>
      </c>
      <c r="D2" s="22" t="s">
        <v>129</v>
      </c>
      <c r="E2" s="36"/>
      <c r="F2" s="36"/>
      <c r="G2" s="36"/>
      <c r="H2" s="36"/>
      <c r="I2" s="36"/>
      <c r="J2" s="7"/>
      <c r="K2" s="7"/>
      <c r="L2" s="7"/>
      <c r="M2" s="7"/>
    </row>
    <row r="3" spans="1:13" ht="30" customHeight="1" x14ac:dyDescent="0.25">
      <c r="A3" s="2" t="s">
        <v>371</v>
      </c>
      <c r="B3" s="2" t="s">
        <v>372</v>
      </c>
      <c r="C3" s="8">
        <f>INPUT_DATA!E84</f>
        <v>67.96946100000001</v>
      </c>
      <c r="D3" s="8">
        <f>INPUT_DATA!G84</f>
        <v>38.388778286519027</v>
      </c>
      <c r="E3" s="34" t="str">
        <f>INPUT_DATA!A64</f>
        <v>D19</v>
      </c>
      <c r="F3" s="33"/>
      <c r="G3" s="33"/>
      <c r="H3" s="33"/>
      <c r="I3" s="33"/>
      <c r="J3" s="2" t="str">
        <f>INPUT_DATA!A65</f>
        <v>D20</v>
      </c>
      <c r="K3" s="2" t="str">
        <f>INPUT_DATA!A84</f>
        <v>S13</v>
      </c>
      <c r="L3" s="2"/>
      <c r="M3" s="2"/>
    </row>
    <row r="4" spans="1:13" ht="30" customHeight="1" x14ac:dyDescent="0.25">
      <c r="A4" s="2" t="s">
        <v>373</v>
      </c>
      <c r="B4" s="2" t="s">
        <v>374</v>
      </c>
      <c r="C4" s="8">
        <f>INPUT_DATA!E85</f>
        <v>320.45592342197199</v>
      </c>
      <c r="D4" s="2">
        <f>INPUT_DATA!G85</f>
        <v>70.600000000000023</v>
      </c>
      <c r="E4" s="34" t="str">
        <f>INPUT_DATA!A67</f>
        <v>D22</v>
      </c>
      <c r="F4" s="33"/>
      <c r="G4" s="33"/>
      <c r="H4" s="33"/>
      <c r="I4" s="33"/>
      <c r="J4" s="14" t="str">
        <f>INPUT_DATA!A68</f>
        <v>D23</v>
      </c>
      <c r="K4" s="2" t="str">
        <f>INPUT_DATA!A85</f>
        <v>S14</v>
      </c>
      <c r="L4" s="2"/>
      <c r="M4" s="2"/>
    </row>
    <row r="5" spans="1:13" ht="30" customHeight="1" x14ac:dyDescent="0.25">
      <c r="A5" s="2" t="s">
        <v>375</v>
      </c>
      <c r="B5" s="2" t="s">
        <v>376</v>
      </c>
      <c r="C5" s="8">
        <f>INPUT_DATA!E86</f>
        <v>320.45999999999998</v>
      </c>
      <c r="D5" s="2">
        <f>INPUT_DATA!G86</f>
        <v>70.599999999999994</v>
      </c>
      <c r="E5" s="34" t="str">
        <f>INPUT_DATA!A84</f>
        <v>S13</v>
      </c>
      <c r="F5" s="33" t="str">
        <f>INPUT_DATA!A85</f>
        <v>S14</v>
      </c>
      <c r="G5" s="33" t="str">
        <f>INPUT_DATA!A101</f>
        <v>F1</v>
      </c>
      <c r="H5" s="33"/>
      <c r="I5" s="33"/>
      <c r="J5" s="2" t="str">
        <f>INPUT_DATA!A22</f>
        <v>B1</v>
      </c>
      <c r="K5" s="2" t="str">
        <f>INPUT_DATA!A46</f>
        <v>D1</v>
      </c>
      <c r="L5" s="2" t="str">
        <f>INPUT_DATA!A72</f>
        <v>S1</v>
      </c>
      <c r="M5" s="8" t="str">
        <f>INPUT_DATA!A88</f>
        <v>NCG1</v>
      </c>
    </row>
    <row r="6" spans="1:13" ht="30" customHeight="1" x14ac:dyDescent="0.25">
      <c r="A6" s="2" t="s">
        <v>375</v>
      </c>
      <c r="B6" s="2" t="s">
        <v>377</v>
      </c>
      <c r="C6" s="2">
        <f>INPUT_DATA!E72</f>
        <v>259.39999999999998</v>
      </c>
      <c r="D6" s="2">
        <f>INPUT_DATA!G72</f>
        <v>66.55</v>
      </c>
      <c r="E6" s="33" t="str">
        <f>INPUT_DATA!A72</f>
        <v>S1</v>
      </c>
      <c r="F6" s="35" t="str">
        <f>INPUT_DATA!A88</f>
        <v>NCG1</v>
      </c>
      <c r="G6" s="35" t="str">
        <f>INPUT_DATA!A112</f>
        <v>F2</v>
      </c>
      <c r="H6" s="33" t="str">
        <f>INPUT_DATA!A22</f>
        <v>B1</v>
      </c>
      <c r="I6" s="33" t="str">
        <f>INPUT_DATA!A46</f>
        <v>D1</v>
      </c>
      <c r="J6" s="2" t="str">
        <f>INPUT_DATA!A23</f>
        <v>B2</v>
      </c>
      <c r="K6" s="2" t="str">
        <f>INPUT_DATA!A47</f>
        <v>D2</v>
      </c>
      <c r="L6" s="2" t="str">
        <f>INPUT_DATA!A73</f>
        <v>S2</v>
      </c>
      <c r="M6" s="8" t="str">
        <f>INPUT_DATA!A89</f>
        <v>NCG2</v>
      </c>
    </row>
    <row r="7" spans="1:13" ht="30" customHeight="1" x14ac:dyDescent="0.25">
      <c r="A7" s="2" t="s">
        <v>375</v>
      </c>
      <c r="B7" s="2" t="s">
        <v>378</v>
      </c>
      <c r="C7" s="2">
        <f>INPUT_DATA!E73</f>
        <v>219.6</v>
      </c>
      <c r="D7" s="2">
        <f>INPUT_DATA!G73</f>
        <v>62.81</v>
      </c>
      <c r="E7" s="33" t="str">
        <f>INPUT_DATA!A73</f>
        <v>S2</v>
      </c>
      <c r="F7" s="35" t="str">
        <f>INPUT_DATA!A89</f>
        <v>NCG2</v>
      </c>
      <c r="G7" s="33" t="str">
        <f>INPUT_DATA!A123</f>
        <v>F3</v>
      </c>
      <c r="H7" s="33" t="str">
        <f>INPUT_DATA!A23</f>
        <v>B2</v>
      </c>
      <c r="I7" s="33" t="str">
        <f>INPUT_DATA!A47</f>
        <v>D2</v>
      </c>
      <c r="J7" s="2" t="str">
        <f>INPUT_DATA!A24</f>
        <v>B3</v>
      </c>
      <c r="K7" s="2" t="str">
        <f>INPUT_DATA!A48</f>
        <v>D3</v>
      </c>
      <c r="L7" s="2" t="str">
        <f>INPUT_DATA!A74</f>
        <v>S3</v>
      </c>
      <c r="M7" s="8" t="str">
        <f>INPUT_DATA!A90</f>
        <v>NCG3</v>
      </c>
    </row>
    <row r="8" spans="1:13" ht="30" customHeight="1" x14ac:dyDescent="0.25">
      <c r="A8" s="2" t="s">
        <v>379</v>
      </c>
      <c r="B8" s="2" t="s">
        <v>380</v>
      </c>
      <c r="C8" s="2">
        <f>INPUT_DATA!E74</f>
        <v>188</v>
      </c>
      <c r="D8" s="2">
        <f>INPUT_DATA!G74</f>
        <v>59.4</v>
      </c>
      <c r="E8" s="33" t="str">
        <f>INPUT_DATA!A74</f>
        <v>S3</v>
      </c>
      <c r="F8" s="35" t="str">
        <f>INPUT_DATA!A90</f>
        <v>NCG3</v>
      </c>
      <c r="G8" s="33" t="str">
        <f>INPUT_DATA!A134</f>
        <v>F4</v>
      </c>
      <c r="H8" s="33" t="str">
        <f>INPUT_DATA!A24</f>
        <v>B3</v>
      </c>
      <c r="I8" s="33" t="str">
        <f>INPUT_DATA!A48</f>
        <v>D3</v>
      </c>
      <c r="J8" s="2" t="str">
        <f>INPUT_DATA!A25</f>
        <v>B4</v>
      </c>
      <c r="K8" s="2" t="str">
        <f>INPUT_DATA!A49</f>
        <v>D4</v>
      </c>
      <c r="L8" s="2" t="str">
        <f>INPUT_DATA!A75</f>
        <v>S4</v>
      </c>
      <c r="M8" s="8" t="str">
        <f>INPUT_DATA!A91</f>
        <v>NCG4</v>
      </c>
    </row>
    <row r="9" spans="1:13" ht="30" customHeight="1" x14ac:dyDescent="0.25">
      <c r="A9" s="2" t="s">
        <v>379</v>
      </c>
      <c r="B9" s="2" t="s">
        <v>381</v>
      </c>
      <c r="C9" s="2">
        <f>INPUT_DATA!E75</f>
        <v>161.80000000000001</v>
      </c>
      <c r="D9" s="2">
        <f>INPUT_DATA!G75</f>
        <v>56.2</v>
      </c>
      <c r="E9" s="33" t="str">
        <f>INPUT_DATA!A75</f>
        <v>S4</v>
      </c>
      <c r="F9" s="35" t="str">
        <f>INPUT_DATA!A91</f>
        <v>NCG4</v>
      </c>
      <c r="G9" s="33" t="str">
        <f>INPUT_DATA!A145</f>
        <v>F5</v>
      </c>
      <c r="H9" s="33" t="str">
        <f>INPUT_DATA!A25</f>
        <v>B4</v>
      </c>
      <c r="I9" s="33" t="str">
        <f>INPUT_DATA!A49</f>
        <v>D4</v>
      </c>
      <c r="J9" s="2" t="str">
        <f>INPUT_DATA!A26</f>
        <v>B5</v>
      </c>
      <c r="K9" s="2" t="str">
        <f>INPUT_DATA!A50</f>
        <v>D5</v>
      </c>
      <c r="L9" s="2" t="str">
        <f>INPUT_DATA!A76</f>
        <v>S5</v>
      </c>
      <c r="M9" s="8" t="str">
        <f>INPUT_DATA!A92</f>
        <v>NCG5</v>
      </c>
    </row>
    <row r="10" spans="1:13" ht="30" customHeight="1" x14ac:dyDescent="0.25">
      <c r="A10" s="2" t="s">
        <v>379</v>
      </c>
      <c r="B10" s="2" t="s">
        <v>382</v>
      </c>
      <c r="C10" s="2">
        <f>INPUT_DATA!E76</f>
        <v>139.5</v>
      </c>
      <c r="D10" s="2">
        <f>INPUT_DATA!G76</f>
        <v>53.1</v>
      </c>
      <c r="E10" s="33" t="str">
        <f>INPUT_DATA!A76</f>
        <v>S5</v>
      </c>
      <c r="F10" s="35" t="str">
        <f>INPUT_DATA!A92</f>
        <v>NCG5</v>
      </c>
      <c r="G10" s="33" t="str">
        <f>INPUT_DATA!A156</f>
        <v>F6</v>
      </c>
      <c r="H10" s="33" t="str">
        <f>INPUT_DATA!A26</f>
        <v>B5</v>
      </c>
      <c r="I10" s="33" t="str">
        <f>INPUT_DATA!A50</f>
        <v>D5</v>
      </c>
      <c r="J10" s="2" t="str">
        <f>INPUT_DATA!A27</f>
        <v>B6</v>
      </c>
      <c r="K10" s="2" t="str">
        <f>INPUT_DATA!A51</f>
        <v>D6</v>
      </c>
      <c r="L10" s="2" t="str">
        <f>INPUT_DATA!A77</f>
        <v>S6</v>
      </c>
      <c r="M10" s="8" t="str">
        <f>INPUT_DATA!A93</f>
        <v>NCG6</v>
      </c>
    </row>
    <row r="11" spans="1:13" ht="30" customHeight="1" x14ac:dyDescent="0.25">
      <c r="A11" s="2" t="s">
        <v>383</v>
      </c>
      <c r="B11" s="2" t="s">
        <v>384</v>
      </c>
      <c r="C11" s="2">
        <f>INPUT_DATA!E77</f>
        <v>119.8</v>
      </c>
      <c r="D11" s="2">
        <f>INPUT_DATA!G77</f>
        <v>50</v>
      </c>
      <c r="E11" s="33" t="str">
        <f>INPUT_DATA!A77</f>
        <v>S6</v>
      </c>
      <c r="F11" s="35" t="str">
        <f>INPUT_DATA!A93</f>
        <v>NCG6</v>
      </c>
      <c r="G11" s="33" t="str">
        <f>INPUT_DATA!A167</f>
        <v>F7</v>
      </c>
      <c r="H11" s="33" t="str">
        <f>INPUT_DATA!A27</f>
        <v>B6</v>
      </c>
      <c r="I11" s="33" t="str">
        <f>INPUT_DATA!A51</f>
        <v>D6</v>
      </c>
      <c r="J11" s="2" t="str">
        <f>INPUT_DATA!A28</f>
        <v>B7</v>
      </c>
      <c r="K11" s="2" t="str">
        <f>INPUT_DATA!A52</f>
        <v>D7</v>
      </c>
      <c r="L11" s="2" t="str">
        <f>INPUT_DATA!A78</f>
        <v>S7</v>
      </c>
      <c r="M11" s="8" t="str">
        <f>INPUT_DATA!A94</f>
        <v>NCG7</v>
      </c>
    </row>
    <row r="12" spans="1:13" ht="30" customHeight="1" x14ac:dyDescent="0.25">
      <c r="A12" s="2" t="s">
        <v>383</v>
      </c>
      <c r="B12" s="2" t="s">
        <v>385</v>
      </c>
      <c r="C12" s="2">
        <f>INPUT_DATA!E78</f>
        <v>101.7</v>
      </c>
      <c r="D12" s="2">
        <f>INPUT_DATA!G78</f>
        <v>46.72</v>
      </c>
      <c r="E12" s="33" t="str">
        <f>INPUT_DATA!A78</f>
        <v>S7</v>
      </c>
      <c r="F12" s="35" t="str">
        <f>INPUT_DATA!A94</f>
        <v>NCG7</v>
      </c>
      <c r="G12" s="33" t="str">
        <f>INPUT_DATA!A178</f>
        <v>F8</v>
      </c>
      <c r="H12" s="33" t="str">
        <f>INPUT_DATA!A28</f>
        <v>B7</v>
      </c>
      <c r="I12" s="33" t="str">
        <f>INPUT_DATA!A52</f>
        <v>D7</v>
      </c>
      <c r="J12" s="2" t="str">
        <f>INPUT_DATA!A29</f>
        <v>B8</v>
      </c>
      <c r="K12" s="2" t="str">
        <f>INPUT_DATA!A53</f>
        <v>D8</v>
      </c>
      <c r="L12" s="2" t="str">
        <f>INPUT_DATA!A79</f>
        <v>S8</v>
      </c>
      <c r="M12" s="8" t="str">
        <f>INPUT_DATA!A95</f>
        <v>NCG8</v>
      </c>
    </row>
    <row r="13" spans="1:13" ht="30" customHeight="1" x14ac:dyDescent="0.25">
      <c r="A13" s="2" t="s">
        <v>383</v>
      </c>
      <c r="B13" s="2" t="s">
        <v>386</v>
      </c>
      <c r="C13" s="2">
        <f>INPUT_DATA!E79</f>
        <v>84.6</v>
      </c>
      <c r="D13" s="2">
        <f>INPUT_DATA!G79</f>
        <v>43.14</v>
      </c>
      <c r="E13" s="33" t="str">
        <f>INPUT_DATA!A79</f>
        <v>S8</v>
      </c>
      <c r="F13" s="35" t="str">
        <f>INPUT_DATA!A95</f>
        <v>NCG8</v>
      </c>
      <c r="G13" s="33" t="str">
        <f>INPUT_DATA!A189</f>
        <v>F9</v>
      </c>
      <c r="H13" s="33" t="str">
        <f>INPUT_DATA!A29</f>
        <v>B8</v>
      </c>
      <c r="I13" s="33" t="str">
        <f>INPUT_DATA!A53</f>
        <v>D8</v>
      </c>
      <c r="J13" s="2" t="str">
        <f>INPUT_DATA!A30</f>
        <v>B9</v>
      </c>
      <c r="K13" s="2" t="str">
        <f>INPUT_DATA!A54</f>
        <v>D9</v>
      </c>
      <c r="L13" s="2" t="str">
        <f>INPUT_DATA!A80</f>
        <v>S9</v>
      </c>
      <c r="M13" s="8" t="str">
        <f>INPUT_DATA!A96</f>
        <v>NCG9</v>
      </c>
    </row>
    <row r="14" spans="1:13" ht="30" customHeight="1" x14ac:dyDescent="0.25">
      <c r="A14" s="2" t="s">
        <v>387</v>
      </c>
      <c r="B14" s="2" t="s">
        <v>388</v>
      </c>
      <c r="C14" s="8">
        <f>INPUT_DATA!E96</f>
        <v>82</v>
      </c>
      <c r="D14" s="8">
        <f>INPUT_DATA!G96</f>
        <v>41.91</v>
      </c>
      <c r="E14" s="33" t="str">
        <f>INPUT_DATA!A16</f>
        <v>SW13</v>
      </c>
      <c r="F14" s="35" t="str">
        <f>INPUT_DATA!A96</f>
        <v>NCG9</v>
      </c>
      <c r="G14" s="33"/>
      <c r="H14" s="33"/>
      <c r="I14" s="33"/>
      <c r="J14" s="2" t="str">
        <f>INPUT_DATA!A17</f>
        <v>SW14</v>
      </c>
      <c r="K14" s="8" t="str">
        <f>INPUT_DATA!A97</f>
        <v>NCG10</v>
      </c>
      <c r="L14" s="2"/>
      <c r="M14" s="2"/>
    </row>
    <row r="15" spans="1:13" ht="30" customHeight="1" x14ac:dyDescent="0.25">
      <c r="A15" s="2" t="s">
        <v>389</v>
      </c>
      <c r="B15" s="2" t="s">
        <v>390</v>
      </c>
      <c r="C15" s="2"/>
      <c r="D15" s="2"/>
      <c r="E15" s="33" t="str">
        <f>INPUT_DATA!A31</f>
        <v>B10</v>
      </c>
      <c r="F15" s="33" t="str">
        <f>INPUT_DATA!A11</f>
        <v>SW8</v>
      </c>
      <c r="G15" s="33"/>
      <c r="H15" s="33"/>
      <c r="I15" s="33"/>
      <c r="J15" s="2" t="str">
        <f>INPUT_DATA!A32</f>
        <v>B11</v>
      </c>
      <c r="K15" s="2" t="str">
        <f>INPUT_DATA!A12</f>
        <v>SW9</v>
      </c>
      <c r="L15" s="2"/>
      <c r="M15" s="2"/>
    </row>
    <row r="16" spans="1:13" ht="30" customHeight="1" x14ac:dyDescent="0.25">
      <c r="A16" s="2" t="s">
        <v>391</v>
      </c>
      <c r="B16" s="2" t="s">
        <v>392</v>
      </c>
      <c r="C16" s="2"/>
      <c r="D16" s="2"/>
      <c r="E16" s="33" t="str">
        <f>INPUT_DATA!A56</f>
        <v>D11</v>
      </c>
      <c r="F16" s="33" t="str">
        <f>INPUT_DATA!A6</f>
        <v>SW3</v>
      </c>
      <c r="G16" s="33"/>
      <c r="H16" s="33"/>
      <c r="I16" s="33"/>
      <c r="J16" s="2" t="str">
        <f>INPUT_DATA!A33</f>
        <v>B12</v>
      </c>
      <c r="K16" s="2" t="str">
        <f>INPUT_DATA!A7</f>
        <v>SW4</v>
      </c>
      <c r="L16" s="2"/>
      <c r="M16" s="2"/>
    </row>
    <row r="17" spans="1:13" ht="30" customHeight="1" x14ac:dyDescent="0.25">
      <c r="A17" s="2" t="s">
        <v>393</v>
      </c>
      <c r="B17" s="2" t="s">
        <v>394</v>
      </c>
      <c r="C17" s="8">
        <f>INPUT_DATA!E30</f>
        <v>68</v>
      </c>
      <c r="D17" s="8">
        <f>INPUT_DATA!G30</f>
        <v>39</v>
      </c>
      <c r="E17" s="33" t="str">
        <f>INPUT_DATA!A30</f>
        <v>B9</v>
      </c>
      <c r="F17" s="33"/>
      <c r="G17" s="33"/>
      <c r="H17" s="33"/>
      <c r="I17" s="33"/>
      <c r="J17" s="2" t="str">
        <f>INPUT_DATA!A31</f>
        <v>B10</v>
      </c>
      <c r="K17" s="2"/>
      <c r="L17" s="2"/>
      <c r="M17" s="2"/>
    </row>
    <row r="18" spans="1:13" ht="30" customHeight="1" x14ac:dyDescent="0.25">
      <c r="A18" s="2" t="s">
        <v>395</v>
      </c>
      <c r="B18" s="2" t="s">
        <v>396</v>
      </c>
      <c r="C18" s="2">
        <f>INPUT_DATA!E54</f>
        <v>84.6</v>
      </c>
      <c r="D18" s="8">
        <f>INPUT_DATA!G54</f>
        <v>42.404474022589056</v>
      </c>
      <c r="E18" s="33" t="str">
        <f>INPUT_DATA!A54</f>
        <v>D9</v>
      </c>
      <c r="F18" s="33" t="str">
        <f>INPUT_DATA!A70</f>
        <v>D25</v>
      </c>
      <c r="G18" s="33"/>
      <c r="H18" s="33"/>
      <c r="I18" s="33"/>
      <c r="J18" s="2" t="str">
        <f>INPUT_DATA!A55</f>
        <v>D10</v>
      </c>
      <c r="K18" s="2"/>
      <c r="L18" s="2"/>
      <c r="M18" s="2"/>
    </row>
    <row r="19" spans="1:13" ht="30" customHeight="1" x14ac:dyDescent="0.25">
      <c r="A19" s="2" t="s">
        <v>397</v>
      </c>
      <c r="B19" s="2" t="s">
        <v>398</v>
      </c>
      <c r="C19" s="2"/>
      <c r="D19" s="2"/>
      <c r="E19" s="33" t="str">
        <f>INPUT_DATA!A4</f>
        <v>SW1</v>
      </c>
      <c r="F19" s="33"/>
      <c r="G19" s="33"/>
      <c r="H19" s="33"/>
      <c r="I19" s="33"/>
      <c r="J19" s="2" t="str">
        <f>INPUT_DATA!A5</f>
        <v>SW2</v>
      </c>
      <c r="K19" s="2"/>
      <c r="L19" s="2"/>
      <c r="M19" s="2"/>
    </row>
    <row r="20" spans="1:13" ht="30" customHeight="1" x14ac:dyDescent="0.25">
      <c r="A20" s="2" t="s">
        <v>399</v>
      </c>
      <c r="B20" s="2" t="s">
        <v>400</v>
      </c>
      <c r="C20" s="2"/>
      <c r="D20" s="2"/>
      <c r="E20" s="33" t="str">
        <f>INPUT_DATA!A30</f>
        <v>B9</v>
      </c>
      <c r="F20" s="33"/>
      <c r="G20" s="33"/>
      <c r="H20" s="33"/>
      <c r="I20" s="33"/>
      <c r="J20" s="2" t="str">
        <f>INPUT_DATA!A31</f>
        <v>B10</v>
      </c>
      <c r="K20" s="2"/>
      <c r="L20" s="2"/>
      <c r="M20" s="2"/>
    </row>
    <row r="21" spans="1:13" ht="30" customHeight="1" x14ac:dyDescent="0.25">
      <c r="A21" s="2" t="s">
        <v>401</v>
      </c>
      <c r="B21" s="2" t="s">
        <v>402</v>
      </c>
      <c r="C21" s="2"/>
      <c r="D21" s="2"/>
      <c r="E21" s="33" t="str">
        <f>INPUT_DATA!A55</f>
        <v>D10</v>
      </c>
      <c r="F21" s="33"/>
      <c r="G21" s="33"/>
      <c r="H21" s="33"/>
      <c r="I21" s="33"/>
      <c r="J21" s="2" t="str">
        <f>INPUT_DATA!A56</f>
        <v>D11</v>
      </c>
      <c r="K21" s="2"/>
      <c r="L21" s="2"/>
      <c r="M21" s="2"/>
    </row>
    <row r="22" spans="1:13" ht="30" customHeight="1" x14ac:dyDescent="0.25">
      <c r="A22" s="2" t="s">
        <v>403</v>
      </c>
      <c r="B22" s="2" t="s">
        <v>404</v>
      </c>
      <c r="C22" s="2"/>
      <c r="D22" s="2"/>
      <c r="E22" s="33" t="str">
        <f>INPUT_DATA!A58</f>
        <v>D13</v>
      </c>
      <c r="F22" s="33"/>
      <c r="G22" s="33"/>
      <c r="H22" s="33"/>
      <c r="I22" s="33"/>
      <c r="J22" s="2" t="str">
        <f>INPUT_DATA!A60</f>
        <v>D15</v>
      </c>
      <c r="K22" s="2"/>
      <c r="L22" s="2"/>
      <c r="M22" s="2"/>
    </row>
    <row r="23" spans="1:13" ht="30" customHeight="1" x14ac:dyDescent="0.25">
      <c r="A23" s="2" t="s">
        <v>405</v>
      </c>
      <c r="B23" s="2" t="s">
        <v>406</v>
      </c>
      <c r="C23" s="2"/>
      <c r="D23" s="2"/>
      <c r="E23" s="33" t="str">
        <f>INPUT_DATA!A59</f>
        <v>D14</v>
      </c>
      <c r="F23" s="33"/>
      <c r="G23" s="33"/>
      <c r="H23" s="33"/>
      <c r="I23" s="33"/>
      <c r="J23" s="2" t="str">
        <f>INPUT_DATA!A61</f>
        <v>D16</v>
      </c>
      <c r="K23" s="2" t="str">
        <f>INPUT_DATA!A62</f>
        <v>D17</v>
      </c>
      <c r="L23" s="2" t="str">
        <f>INPUT_DATA!A63</f>
        <v>D18</v>
      </c>
      <c r="M23" s="2"/>
    </row>
    <row r="24" spans="1:13" ht="30" customHeight="1" x14ac:dyDescent="0.25">
      <c r="A24" s="2" t="s">
        <v>407</v>
      </c>
      <c r="B24" s="2" t="s">
        <v>408</v>
      </c>
      <c r="C24" s="2"/>
      <c r="D24" s="2"/>
      <c r="E24" s="33"/>
      <c r="F24" s="33"/>
      <c r="G24" s="33"/>
      <c r="H24" s="33"/>
      <c r="I24" s="33"/>
      <c r="J24" s="2" t="str">
        <f>INPUT_DATA!A64</f>
        <v>D19</v>
      </c>
      <c r="K24" s="2"/>
      <c r="L24" s="2"/>
      <c r="M24" s="2"/>
    </row>
    <row r="25" spans="1:13" ht="30" customHeight="1" x14ac:dyDescent="0.25">
      <c r="A25" s="2" t="s">
        <v>409</v>
      </c>
      <c r="B25" s="2" t="s">
        <v>410</v>
      </c>
      <c r="C25" s="2"/>
      <c r="D25" s="2"/>
      <c r="E25" s="33"/>
      <c r="F25" s="33"/>
      <c r="G25" s="33"/>
      <c r="H25" s="33"/>
      <c r="I25" s="33"/>
      <c r="J25" s="2" t="str">
        <f>INPUT_DATA!A67</f>
        <v>D22</v>
      </c>
      <c r="K25" s="2"/>
      <c r="L25" s="2"/>
      <c r="M25" s="2"/>
    </row>
    <row r="26" spans="1:13" ht="30" customHeight="1" x14ac:dyDescent="0.25">
      <c r="A26" s="2" t="s">
        <v>411</v>
      </c>
      <c r="B26" s="2" t="s">
        <v>412</v>
      </c>
      <c r="C26" s="2"/>
      <c r="D26" s="2"/>
      <c r="E26" s="33" t="str">
        <f>INPUT_DATA!A66</f>
        <v>D21</v>
      </c>
      <c r="F26" s="33"/>
      <c r="G26" s="33"/>
      <c r="H26" s="33"/>
      <c r="I26" s="33"/>
      <c r="J26" s="2"/>
      <c r="K26" s="2"/>
      <c r="L26" s="2"/>
      <c r="M26" s="2"/>
    </row>
    <row r="27" spans="1:13" ht="30" customHeight="1" x14ac:dyDescent="0.25">
      <c r="A27" s="2" t="s">
        <v>413</v>
      </c>
      <c r="B27" s="2" t="s">
        <v>412</v>
      </c>
      <c r="C27" s="2"/>
      <c r="D27" s="2"/>
      <c r="E27" s="33" t="str">
        <f>INPUT_DATA!A69</f>
        <v>D24</v>
      </c>
      <c r="F27" s="33"/>
      <c r="G27" s="33"/>
      <c r="H27" s="33"/>
      <c r="I27" s="33"/>
      <c r="J27" s="2"/>
      <c r="K27" s="2"/>
      <c r="L27" s="2"/>
      <c r="M27" s="2"/>
    </row>
    <row r="28" spans="1:13" ht="30" customHeight="1" x14ac:dyDescent="0.25">
      <c r="A28" s="2" t="s">
        <v>414</v>
      </c>
      <c r="B28" s="2" t="s">
        <v>415</v>
      </c>
      <c r="C28" s="14">
        <f>INPUT_DATA!E57</f>
        <v>0</v>
      </c>
      <c r="D28" s="2">
        <f>INPUT_DATA!G57</f>
        <v>0</v>
      </c>
      <c r="E28" s="33" t="str">
        <f>INPUT_DATA!A57</f>
        <v>D12</v>
      </c>
      <c r="F28" s="33"/>
      <c r="G28" s="33"/>
      <c r="H28" s="33"/>
      <c r="I28" s="33"/>
      <c r="J28" s="2" t="str">
        <f>INPUT_DATA!A58</f>
        <v>D13</v>
      </c>
      <c r="K28" s="2" t="str">
        <f>INPUT_DATA!A59</f>
        <v>D14</v>
      </c>
      <c r="L28" s="2"/>
      <c r="M28" s="2"/>
    </row>
    <row r="29" spans="1:13" ht="30" customHeight="1" x14ac:dyDescent="0.25">
      <c r="A29" s="2" t="s">
        <v>416</v>
      </c>
      <c r="B29" s="2" t="s">
        <v>417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30" customHeight="1" x14ac:dyDescent="0.25">
      <c r="A30" s="2" t="s">
        <v>418</v>
      </c>
      <c r="B30" s="2" t="s">
        <v>419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30" customHeight="1" x14ac:dyDescent="0.25">
      <c r="A31" s="2" t="s">
        <v>420</v>
      </c>
      <c r="B31" s="2" t="s">
        <v>421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dataValidations count="1">
    <dataValidation type="list" allowBlank="1" errorTitle="Invalid Line Tag" error="Please select a valid Line Tag" sqref="E3:M31" xr:uid="{00000000-0002-0000-0200-000000000000}">
      <formula1>LineTags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14"/>
  <sheetViews>
    <sheetView topLeftCell="A102" workbookViewId="0">
      <selection activeCell="B78" sqref="B78"/>
    </sheetView>
  </sheetViews>
  <sheetFormatPr defaultColWidth="10.28515625" defaultRowHeight="24.95" customHeight="1" x14ac:dyDescent="0.25"/>
  <cols>
    <col min="1" max="1" width="10.7109375" style="59" customWidth="1"/>
    <col min="2" max="2" width="22.140625" style="59" bestFit="1" customWidth="1"/>
    <col min="3" max="3" width="22" style="59" bestFit="1" customWidth="1"/>
    <col min="4" max="4" width="11.42578125" style="59" bestFit="1" customWidth="1"/>
    <col min="5" max="5" width="11.140625" style="60" bestFit="1" customWidth="1"/>
    <col min="6" max="6" width="13.7109375" style="42" bestFit="1" customWidth="1"/>
    <col min="7" max="7" width="19.85546875" style="42" bestFit="1" customWidth="1"/>
    <col min="8" max="8" width="17" style="42" bestFit="1" customWidth="1"/>
    <col min="9" max="9" width="15.140625" style="42" bestFit="1" customWidth="1"/>
    <col min="10" max="10" width="15.85546875" style="42" bestFit="1" customWidth="1"/>
    <col min="11" max="11" width="17.5703125" style="42" bestFit="1" customWidth="1"/>
    <col min="12" max="12" width="10.28515625" style="42" customWidth="1"/>
    <col min="13" max="16384" width="10.28515625" style="42"/>
  </cols>
  <sheetData>
    <row r="1" spans="1:11" ht="31.5" customHeight="1" x14ac:dyDescent="0.25">
      <c r="A1" s="118" t="s">
        <v>422</v>
      </c>
      <c r="B1" s="118" t="s">
        <v>423</v>
      </c>
      <c r="C1" s="118" t="s">
        <v>424</v>
      </c>
      <c r="D1" s="37" t="s">
        <v>425</v>
      </c>
      <c r="E1" s="38" t="s">
        <v>426</v>
      </c>
      <c r="F1" s="39" t="s">
        <v>120</v>
      </c>
      <c r="G1" s="39" t="s">
        <v>427</v>
      </c>
      <c r="H1" s="40" t="s">
        <v>428</v>
      </c>
      <c r="I1" s="40" t="s">
        <v>429</v>
      </c>
      <c r="J1" s="41" t="s">
        <v>430</v>
      </c>
    </row>
    <row r="2" spans="1:11" ht="24.95" customHeight="1" x14ac:dyDescent="0.25">
      <c r="A2" s="119"/>
      <c r="B2" s="119"/>
      <c r="C2" s="119"/>
      <c r="D2" s="43" t="s">
        <v>431</v>
      </c>
      <c r="E2" s="44" t="s">
        <v>125</v>
      </c>
      <c r="F2" s="45" t="s">
        <v>432</v>
      </c>
      <c r="G2" s="45" t="s">
        <v>433</v>
      </c>
      <c r="H2" s="46" t="s">
        <v>434</v>
      </c>
      <c r="I2" s="45" t="s">
        <v>434</v>
      </c>
      <c r="J2" s="45" t="s">
        <v>433</v>
      </c>
    </row>
    <row r="3" spans="1:11" ht="24.95" customHeight="1" x14ac:dyDescent="0.25">
      <c r="A3" s="94" t="s">
        <v>435</v>
      </c>
      <c r="B3" s="94"/>
      <c r="C3" s="94"/>
      <c r="D3" s="94"/>
      <c r="E3" s="94"/>
      <c r="F3" s="94"/>
      <c r="G3" s="94"/>
      <c r="H3" s="94"/>
      <c r="I3" s="94"/>
      <c r="J3" s="94"/>
    </row>
    <row r="4" spans="1:11" ht="24.95" customHeight="1" x14ac:dyDescent="0.25">
      <c r="A4" s="47">
        <v>1</v>
      </c>
      <c r="B4" s="48" t="s">
        <v>436</v>
      </c>
      <c r="C4" s="48" t="s">
        <v>437</v>
      </c>
      <c r="D4" s="48" t="str">
        <f>INPUT_DATA!A4</f>
        <v>SW1</v>
      </c>
      <c r="E4" s="49">
        <f t="shared" ref="E4:E20" si="0">IFERROR(INDEX(FlowRates_kgs,MATCH(D4,LineTags,0)),"")</f>
        <v>32.089503980629182</v>
      </c>
      <c r="F4" s="49">
        <f t="shared" ref="F4:F20" si="1">IFERROR(INDEX(Densities,MATCH(D4,LineTags,0)),"")</f>
        <v>1026.3218958346999</v>
      </c>
      <c r="G4" s="50">
        <v>1.6</v>
      </c>
      <c r="H4" s="51">
        <f t="shared" ref="H4:H20" si="2">IFERROR(SQRT((4*E4)/(PI()*F4*G4))*1000,"")</f>
        <v>157.73743444003125</v>
      </c>
      <c r="I4" s="50">
        <f t="shared" ref="I4:I20" si="3">IFERROR(VLOOKUP(ROUNDUP(H4,-1),PipeReference,2,TRUE),"Check Size")</f>
        <v>202.74</v>
      </c>
      <c r="J4" s="52">
        <f t="shared" ref="J4:J20" si="4">IFERROR((4*E4)/(PI()*F4*(I4/1000)^2),"")</f>
        <v>0.96852457326432773</v>
      </c>
      <c r="K4" s="65"/>
    </row>
    <row r="5" spans="1:11" ht="24.95" customHeight="1" x14ac:dyDescent="0.25">
      <c r="A5" s="48">
        <f t="shared" ref="A5:A20" si="5">A4+1</f>
        <v>2</v>
      </c>
      <c r="B5" s="48" t="s">
        <v>438</v>
      </c>
      <c r="C5" s="48" t="s">
        <v>437</v>
      </c>
      <c r="D5" s="48" t="str">
        <f>INPUT_DATA!A5</f>
        <v>SW2</v>
      </c>
      <c r="E5" s="49">
        <f t="shared" si="0"/>
        <v>32.089503980629182</v>
      </c>
      <c r="F5" s="49">
        <f t="shared" si="1"/>
        <v>1026.4080375536801</v>
      </c>
      <c r="G5" s="50">
        <v>1.6</v>
      </c>
      <c r="H5" s="51">
        <f t="shared" si="2"/>
        <v>157.73081521144235</v>
      </c>
      <c r="I5" s="50">
        <f t="shared" si="3"/>
        <v>202.74</v>
      </c>
      <c r="J5" s="52">
        <f t="shared" si="4"/>
        <v>0.96844328943902325</v>
      </c>
      <c r="K5" s="65"/>
    </row>
    <row r="6" spans="1:11" ht="24.95" customHeight="1" x14ac:dyDescent="0.25">
      <c r="A6" s="48">
        <f t="shared" si="5"/>
        <v>3</v>
      </c>
      <c r="B6" s="48" t="s">
        <v>439</v>
      </c>
      <c r="C6" s="48" t="s">
        <v>437</v>
      </c>
      <c r="D6" s="48" t="str">
        <f>INPUT_DATA!A6</f>
        <v>SW3</v>
      </c>
      <c r="E6" s="49">
        <f t="shared" si="0"/>
        <v>11.19</v>
      </c>
      <c r="F6" s="49">
        <f t="shared" si="1"/>
        <v>1026.4100000000001</v>
      </c>
      <c r="G6" s="50">
        <v>2</v>
      </c>
      <c r="H6" s="51">
        <f t="shared" si="2"/>
        <v>83.309526758085866</v>
      </c>
      <c r="I6" s="50">
        <f t="shared" si="3"/>
        <v>102.25999999999999</v>
      </c>
      <c r="J6" s="52">
        <f t="shared" si="4"/>
        <v>1.3274181569397308</v>
      </c>
      <c r="K6" s="65"/>
    </row>
    <row r="7" spans="1:11" ht="24.95" customHeight="1" x14ac:dyDescent="0.25">
      <c r="A7" s="48">
        <f t="shared" si="5"/>
        <v>4</v>
      </c>
      <c r="B7" s="48" t="s">
        <v>440</v>
      </c>
      <c r="C7" s="48" t="s">
        <v>437</v>
      </c>
      <c r="D7" s="48" t="str">
        <f>INPUT_DATA!A7</f>
        <v>SW4</v>
      </c>
      <c r="E7" s="49">
        <f t="shared" si="0"/>
        <v>11.18950398062919</v>
      </c>
      <c r="F7" s="49">
        <f t="shared" si="1"/>
        <v>1024.3900000000001</v>
      </c>
      <c r="G7" s="50">
        <v>2</v>
      </c>
      <c r="H7" s="51">
        <f t="shared" si="2"/>
        <v>83.389777279406061</v>
      </c>
      <c r="I7" s="50">
        <f t="shared" si="3"/>
        <v>102.25999999999999</v>
      </c>
      <c r="J7" s="52">
        <f t="shared" si="4"/>
        <v>1.3299767432265781</v>
      </c>
      <c r="K7" s="65"/>
    </row>
    <row r="8" spans="1:11" ht="24.95" customHeight="1" x14ac:dyDescent="0.25">
      <c r="A8" s="48">
        <f t="shared" si="5"/>
        <v>5</v>
      </c>
      <c r="B8" s="48" t="s">
        <v>441</v>
      </c>
      <c r="C8" s="48" t="s">
        <v>437</v>
      </c>
      <c r="D8" s="48" t="str">
        <f>INPUT_DATA!A8</f>
        <v>SW5</v>
      </c>
      <c r="E8" s="49">
        <f t="shared" si="0"/>
        <v>3.7298346602097303</v>
      </c>
      <c r="F8" s="49">
        <f t="shared" si="1"/>
        <v>1024.3900000000001</v>
      </c>
      <c r="G8" s="50">
        <v>2</v>
      </c>
      <c r="H8" s="51">
        <f t="shared" si="2"/>
        <v>48.14511035992804</v>
      </c>
      <c r="I8" s="50">
        <f t="shared" si="3"/>
        <v>52.48</v>
      </c>
      <c r="J8" s="52">
        <f t="shared" si="4"/>
        <v>1.6832426083700072</v>
      </c>
      <c r="K8" s="65"/>
    </row>
    <row r="9" spans="1:11" ht="24.95" customHeight="1" x14ac:dyDescent="0.25">
      <c r="A9" s="48">
        <f t="shared" si="5"/>
        <v>6</v>
      </c>
      <c r="B9" s="48" t="s">
        <v>442</v>
      </c>
      <c r="C9" s="48" t="s">
        <v>437</v>
      </c>
      <c r="D9" s="48" t="str">
        <f>INPUT_DATA!A9</f>
        <v>SW6</v>
      </c>
      <c r="E9" s="49">
        <f t="shared" si="0"/>
        <v>3.7298346602097303</v>
      </c>
      <c r="F9" s="49">
        <f t="shared" si="1"/>
        <v>1024.3900000000001</v>
      </c>
      <c r="G9" s="50">
        <v>2</v>
      </c>
      <c r="H9" s="51">
        <f t="shared" si="2"/>
        <v>48.14511035992804</v>
      </c>
      <c r="I9" s="50">
        <f t="shared" si="3"/>
        <v>52.48</v>
      </c>
      <c r="J9" s="52">
        <f t="shared" si="4"/>
        <v>1.6832426083700072</v>
      </c>
      <c r="K9" s="65"/>
    </row>
    <row r="10" spans="1:11" ht="24.95" customHeight="1" x14ac:dyDescent="0.25">
      <c r="A10" s="48">
        <f t="shared" si="5"/>
        <v>7</v>
      </c>
      <c r="B10" s="48" t="s">
        <v>443</v>
      </c>
      <c r="C10" s="48" t="s">
        <v>437</v>
      </c>
      <c r="D10" s="48" t="str">
        <f>INPUT_DATA!A10</f>
        <v>SW7</v>
      </c>
      <c r="E10" s="49">
        <f t="shared" si="0"/>
        <v>3.7298346602097303</v>
      </c>
      <c r="F10" s="49">
        <f t="shared" si="1"/>
        <v>1024.3900000000001</v>
      </c>
      <c r="G10" s="50">
        <v>2</v>
      </c>
      <c r="H10" s="51">
        <f t="shared" si="2"/>
        <v>48.14511035992804</v>
      </c>
      <c r="I10" s="50">
        <f t="shared" si="3"/>
        <v>52.48</v>
      </c>
      <c r="J10" s="52">
        <f t="shared" si="4"/>
        <v>1.6832426083700072</v>
      </c>
      <c r="K10" s="65"/>
    </row>
    <row r="11" spans="1:11" ht="24.95" customHeight="1" x14ac:dyDescent="0.25">
      <c r="A11" s="48">
        <f t="shared" si="5"/>
        <v>8</v>
      </c>
      <c r="B11" s="48" t="s">
        <v>444</v>
      </c>
      <c r="C11" s="48" t="s">
        <v>437</v>
      </c>
      <c r="D11" s="48" t="str">
        <f>INPUT_DATA!A11</f>
        <v>SW8</v>
      </c>
      <c r="E11" s="49">
        <f t="shared" si="0"/>
        <v>9.9</v>
      </c>
      <c r="F11" s="49">
        <f t="shared" si="1"/>
        <v>1024.3900000000001</v>
      </c>
      <c r="G11" s="50">
        <v>2</v>
      </c>
      <c r="H11" s="51">
        <f t="shared" si="2"/>
        <v>78.437725849231995</v>
      </c>
      <c r="I11" s="50">
        <f t="shared" si="3"/>
        <v>102.25999999999999</v>
      </c>
      <c r="J11" s="52">
        <f t="shared" si="4"/>
        <v>1.1767071874443134</v>
      </c>
      <c r="K11" s="65"/>
    </row>
    <row r="12" spans="1:11" ht="24.95" customHeight="1" x14ac:dyDescent="0.25">
      <c r="A12" s="48">
        <f t="shared" si="5"/>
        <v>9</v>
      </c>
      <c r="B12" s="48" t="s">
        <v>445</v>
      </c>
      <c r="C12" s="48" t="s">
        <v>437</v>
      </c>
      <c r="D12" s="48" t="str">
        <f>INPUT_DATA!A12</f>
        <v>SW9</v>
      </c>
      <c r="E12" s="49">
        <f t="shared" si="0"/>
        <v>9.9</v>
      </c>
      <c r="F12" s="49">
        <f t="shared" si="1"/>
        <v>1026.4100000000001</v>
      </c>
      <c r="G12" s="50">
        <v>2</v>
      </c>
      <c r="H12" s="51">
        <f t="shared" si="2"/>
        <v>78.360504154910046</v>
      </c>
      <c r="I12" s="50">
        <f t="shared" si="3"/>
        <v>102.25999999999999</v>
      </c>
      <c r="J12" s="52">
        <f t="shared" si="4"/>
        <v>1.1743913989011023</v>
      </c>
      <c r="K12" s="65"/>
    </row>
    <row r="13" spans="1:11" ht="24.95" customHeight="1" x14ac:dyDescent="0.25">
      <c r="A13" s="48">
        <f t="shared" si="5"/>
        <v>10</v>
      </c>
      <c r="B13" s="48" t="s">
        <v>446</v>
      </c>
      <c r="C13" s="48" t="s">
        <v>437</v>
      </c>
      <c r="D13" s="48" t="str">
        <f>INPUT_DATA!A13</f>
        <v>SW10</v>
      </c>
      <c r="E13" s="49">
        <f t="shared" si="0"/>
        <v>3.3000000000000003</v>
      </c>
      <c r="F13" s="49">
        <f t="shared" si="1"/>
        <v>1026.4100000000001</v>
      </c>
      <c r="G13" s="50">
        <v>2</v>
      </c>
      <c r="H13" s="51">
        <f t="shared" si="2"/>
        <v>45.241458167672107</v>
      </c>
      <c r="I13" s="50">
        <f t="shared" si="3"/>
        <v>52.48</v>
      </c>
      <c r="J13" s="52">
        <f t="shared" si="4"/>
        <v>1.4863309840575334</v>
      </c>
      <c r="K13" s="65"/>
    </row>
    <row r="14" spans="1:11" ht="24.95" customHeight="1" x14ac:dyDescent="0.25">
      <c r="A14" s="48">
        <f t="shared" si="5"/>
        <v>11</v>
      </c>
      <c r="B14" s="48" t="s">
        <v>447</v>
      </c>
      <c r="C14" s="48" t="s">
        <v>437</v>
      </c>
      <c r="D14" s="48" t="str">
        <f>INPUT_DATA!A14</f>
        <v>SW11</v>
      </c>
      <c r="E14" s="49">
        <f t="shared" si="0"/>
        <v>3.3000000000000003</v>
      </c>
      <c r="F14" s="49">
        <f t="shared" si="1"/>
        <v>1026.4100000000001</v>
      </c>
      <c r="G14" s="50">
        <v>2</v>
      </c>
      <c r="H14" s="51">
        <f t="shared" si="2"/>
        <v>45.241458167672107</v>
      </c>
      <c r="I14" s="50">
        <f t="shared" si="3"/>
        <v>52.48</v>
      </c>
      <c r="J14" s="52">
        <f t="shared" si="4"/>
        <v>1.4863309840575334</v>
      </c>
      <c r="K14" s="65"/>
    </row>
    <row r="15" spans="1:11" ht="24.95" customHeight="1" x14ac:dyDescent="0.25">
      <c r="A15" s="48">
        <f t="shared" si="5"/>
        <v>12</v>
      </c>
      <c r="B15" s="48" t="s">
        <v>448</v>
      </c>
      <c r="C15" s="48" t="s">
        <v>437</v>
      </c>
      <c r="D15" s="48" t="str">
        <f>INPUT_DATA!A15</f>
        <v>SW12</v>
      </c>
      <c r="E15" s="49">
        <f t="shared" si="0"/>
        <v>3.3000000000000003</v>
      </c>
      <c r="F15" s="49">
        <f t="shared" si="1"/>
        <v>1026.4100000000001</v>
      </c>
      <c r="G15" s="50">
        <v>2</v>
      </c>
      <c r="H15" s="51">
        <f t="shared" si="2"/>
        <v>45.241458167672107</v>
      </c>
      <c r="I15" s="50">
        <f t="shared" si="3"/>
        <v>52.48</v>
      </c>
      <c r="J15" s="52">
        <f t="shared" si="4"/>
        <v>1.4863309840575334</v>
      </c>
      <c r="K15" s="65"/>
    </row>
    <row r="16" spans="1:11" ht="24.95" customHeight="1" x14ac:dyDescent="0.25">
      <c r="A16" s="48">
        <f t="shared" si="5"/>
        <v>13</v>
      </c>
      <c r="B16" s="48" t="s">
        <v>449</v>
      </c>
      <c r="C16" s="48" t="s">
        <v>437</v>
      </c>
      <c r="D16" s="48" t="str">
        <f>INPUT_DATA!A16</f>
        <v>SW13</v>
      </c>
      <c r="E16" s="49">
        <f t="shared" si="0"/>
        <v>11</v>
      </c>
      <c r="F16" s="49">
        <f t="shared" si="1"/>
        <v>1024.2273109858399</v>
      </c>
      <c r="G16" s="50">
        <v>2</v>
      </c>
      <c r="H16" s="51">
        <f t="shared" si="2"/>
        <v>82.687188986993263</v>
      </c>
      <c r="I16" s="50">
        <f t="shared" si="3"/>
        <v>102.25999999999999</v>
      </c>
      <c r="J16" s="52">
        <f t="shared" si="4"/>
        <v>1.3076601071926885</v>
      </c>
      <c r="K16" s="65"/>
    </row>
    <row r="17" spans="1:11" ht="24.95" customHeight="1" x14ac:dyDescent="0.25">
      <c r="A17" s="48">
        <f t="shared" si="5"/>
        <v>14</v>
      </c>
      <c r="B17" s="48" t="s">
        <v>450</v>
      </c>
      <c r="C17" s="48" t="s">
        <v>437</v>
      </c>
      <c r="D17" s="48" t="str">
        <f>INPUT_DATA!A17</f>
        <v>SW14</v>
      </c>
      <c r="E17" s="49">
        <f t="shared" si="0"/>
        <v>11</v>
      </c>
      <c r="F17" s="49">
        <f t="shared" si="1"/>
        <v>1026.40800440677</v>
      </c>
      <c r="G17" s="50">
        <v>2</v>
      </c>
      <c r="H17" s="51">
        <f t="shared" si="2"/>
        <v>82.599304206244582</v>
      </c>
      <c r="I17" s="50">
        <f t="shared" si="3"/>
        <v>102.25999999999999</v>
      </c>
      <c r="J17" s="52">
        <f t="shared" si="4"/>
        <v>1.3048818691233004</v>
      </c>
      <c r="K17" s="65"/>
    </row>
    <row r="18" spans="1:11" ht="24.95" customHeight="1" x14ac:dyDescent="0.25">
      <c r="A18" s="48">
        <f t="shared" si="5"/>
        <v>15</v>
      </c>
      <c r="B18" s="48" t="s">
        <v>451</v>
      </c>
      <c r="C18" s="48" t="s">
        <v>437</v>
      </c>
      <c r="D18" s="48" t="str">
        <f>INPUT_DATA!A18</f>
        <v>SW15</v>
      </c>
      <c r="E18" s="49">
        <f t="shared" si="0"/>
        <v>3.6666666666666665</v>
      </c>
      <c r="F18" s="49">
        <f t="shared" si="1"/>
        <v>1026.40800440677</v>
      </c>
      <c r="G18" s="50">
        <v>2</v>
      </c>
      <c r="H18" s="51">
        <f t="shared" si="2"/>
        <v>47.688730518351093</v>
      </c>
      <c r="I18" s="50">
        <f t="shared" si="3"/>
        <v>52.48</v>
      </c>
      <c r="J18" s="52">
        <f t="shared" si="4"/>
        <v>1.6514820820619753</v>
      </c>
      <c r="K18" s="65"/>
    </row>
    <row r="19" spans="1:11" ht="24.95" customHeight="1" x14ac:dyDescent="0.25">
      <c r="A19" s="48">
        <f t="shared" si="5"/>
        <v>16</v>
      </c>
      <c r="B19" s="48" t="s">
        <v>452</v>
      </c>
      <c r="C19" s="48" t="s">
        <v>437</v>
      </c>
      <c r="D19" s="48" t="str">
        <f>INPUT_DATA!A19</f>
        <v>SW16</v>
      </c>
      <c r="E19" s="49">
        <f t="shared" si="0"/>
        <v>3.6666666666666665</v>
      </c>
      <c r="F19" s="49">
        <f t="shared" si="1"/>
        <v>1026.40800440677</v>
      </c>
      <c r="G19" s="50">
        <v>2</v>
      </c>
      <c r="H19" s="51">
        <f t="shared" si="2"/>
        <v>47.688730518351093</v>
      </c>
      <c r="I19" s="50">
        <f t="shared" si="3"/>
        <v>52.48</v>
      </c>
      <c r="J19" s="52">
        <f t="shared" si="4"/>
        <v>1.6514820820619753</v>
      </c>
      <c r="K19" s="65"/>
    </row>
    <row r="20" spans="1:11" ht="24.95" customHeight="1" x14ac:dyDescent="0.25">
      <c r="A20" s="48">
        <f t="shared" si="5"/>
        <v>17</v>
      </c>
      <c r="B20" s="48" t="s">
        <v>453</v>
      </c>
      <c r="C20" s="48" t="s">
        <v>437</v>
      </c>
      <c r="D20" s="48" t="str">
        <f>INPUT_DATA!A20</f>
        <v>SW17</v>
      </c>
      <c r="E20" s="49">
        <f t="shared" si="0"/>
        <v>3.6666666666666665</v>
      </c>
      <c r="F20" s="49">
        <f t="shared" si="1"/>
        <v>1026.40800440677</v>
      </c>
      <c r="G20" s="50">
        <v>2</v>
      </c>
      <c r="H20" s="51">
        <f t="shared" si="2"/>
        <v>47.688730518351093</v>
      </c>
      <c r="I20" s="50">
        <f t="shared" si="3"/>
        <v>52.48</v>
      </c>
      <c r="J20" s="52">
        <f t="shared" si="4"/>
        <v>1.6514820820619753</v>
      </c>
      <c r="K20" s="65"/>
    </row>
    <row r="21" spans="1:11" ht="24.95" customHeight="1" x14ac:dyDescent="0.25">
      <c r="A21" s="94" t="s">
        <v>454</v>
      </c>
      <c r="B21" s="94"/>
      <c r="C21" s="94"/>
      <c r="D21" s="94"/>
      <c r="E21" s="94"/>
      <c r="F21" s="94"/>
      <c r="G21" s="94"/>
      <c r="H21" s="94"/>
      <c r="I21" s="94"/>
      <c r="J21" s="94"/>
    </row>
    <row r="22" spans="1:11" ht="24.95" customHeight="1" x14ac:dyDescent="0.25">
      <c r="A22" s="48">
        <f>A20+1</f>
        <v>18</v>
      </c>
      <c r="B22" s="48" t="s">
        <v>455</v>
      </c>
      <c r="C22" s="48" t="s">
        <v>456</v>
      </c>
      <c r="D22" s="48" t="str">
        <f>INPUT_DATA!A22</f>
        <v>B1</v>
      </c>
      <c r="E22" s="53">
        <f t="shared" ref="E22:E44" si="6">IFERROR(INDEX(FlowRates_kgs,MATCH(D22,LineTags,0)),"")</f>
        <v>4.07</v>
      </c>
      <c r="F22" s="54">
        <f t="shared" ref="F22:F44" si="7">IFERROR(INDEX(Densities,MATCH(D22,LineTags,0)),"")</f>
        <v>1043.56</v>
      </c>
      <c r="G22" s="57">
        <v>0.4</v>
      </c>
      <c r="H22" s="51">
        <f t="shared" ref="H22:H44" si="8">IFERROR(SQRT((4*E22)/(PI()*F22*G22))*1000,"")</f>
        <v>111.42010315890732</v>
      </c>
      <c r="I22" s="50">
        <f t="shared" ref="I22:I44" si="9">IFERROR(VLOOKUP(ROUNDUP(H22,-1),PipeReference,2,TRUE),"Check Size")</f>
        <v>154.08000000000001</v>
      </c>
      <c r="J22" s="52">
        <f t="shared" ref="J22:J44" si="10">IFERROR((4*E22)/(PI()*F22*(I22/1000)^2),"")</f>
        <v>0.20916767267030348</v>
      </c>
    </row>
    <row r="23" spans="1:11" ht="24.95" customHeight="1" x14ac:dyDescent="0.25">
      <c r="A23" s="48">
        <f t="shared" ref="A23:A44" si="11">A22+1</f>
        <v>19</v>
      </c>
      <c r="B23" s="48" t="s">
        <v>457</v>
      </c>
      <c r="C23" s="48" t="s">
        <v>456</v>
      </c>
      <c r="D23" s="48" t="str">
        <f>INPUT_DATA!A23</f>
        <v>B2</v>
      </c>
      <c r="E23" s="53">
        <f t="shared" si="6"/>
        <v>8.33</v>
      </c>
      <c r="F23" s="54">
        <f t="shared" si="7"/>
        <v>1042.53</v>
      </c>
      <c r="G23" s="57">
        <v>0.4</v>
      </c>
      <c r="H23" s="51">
        <f t="shared" si="8"/>
        <v>159.47891920961905</v>
      </c>
      <c r="I23" s="50">
        <f t="shared" si="9"/>
        <v>202.74</v>
      </c>
      <c r="J23" s="52">
        <f t="shared" si="10"/>
        <v>0.24750710737171441</v>
      </c>
    </row>
    <row r="24" spans="1:11" ht="24.95" customHeight="1" x14ac:dyDescent="0.25">
      <c r="A24" s="48">
        <f t="shared" si="11"/>
        <v>20</v>
      </c>
      <c r="B24" s="48" t="s">
        <v>458</v>
      </c>
      <c r="C24" s="48" t="s">
        <v>456</v>
      </c>
      <c r="D24" s="48" t="str">
        <f>INPUT_DATA!A24</f>
        <v>B3</v>
      </c>
      <c r="E24" s="53">
        <f t="shared" si="6"/>
        <v>12.73</v>
      </c>
      <c r="F24" s="54">
        <f t="shared" si="7"/>
        <v>1041.71</v>
      </c>
      <c r="G24" s="57">
        <v>0.3</v>
      </c>
      <c r="H24" s="51">
        <f t="shared" si="8"/>
        <v>227.73785045517741</v>
      </c>
      <c r="I24" s="50">
        <f t="shared" si="9"/>
        <v>254.56000000000003</v>
      </c>
      <c r="J24" s="52">
        <f t="shared" si="10"/>
        <v>0.24011061739502249</v>
      </c>
    </row>
    <row r="25" spans="1:11" ht="24.95" customHeight="1" x14ac:dyDescent="0.25">
      <c r="A25" s="48">
        <f t="shared" si="11"/>
        <v>21</v>
      </c>
      <c r="B25" s="48" t="s">
        <v>459</v>
      </c>
      <c r="C25" s="48" t="s">
        <v>456</v>
      </c>
      <c r="D25" s="48" t="str">
        <f>INPUT_DATA!A25</f>
        <v>B4</v>
      </c>
      <c r="E25" s="53">
        <f t="shared" si="6"/>
        <v>17.260000000000002</v>
      </c>
      <c r="F25" s="54">
        <f t="shared" si="7"/>
        <v>1041.51</v>
      </c>
      <c r="G25" s="57">
        <v>0.3</v>
      </c>
      <c r="H25" s="51">
        <f t="shared" si="8"/>
        <v>265.2058536122251</v>
      </c>
      <c r="I25" s="50">
        <f t="shared" si="9"/>
        <v>303.64</v>
      </c>
      <c r="J25" s="52">
        <f t="shared" si="10"/>
        <v>0.22885979276605986</v>
      </c>
    </row>
    <row r="26" spans="1:11" ht="24.95" customHeight="1" x14ac:dyDescent="0.25">
      <c r="A26" s="48">
        <f t="shared" si="11"/>
        <v>22</v>
      </c>
      <c r="B26" s="48" t="s">
        <v>460</v>
      </c>
      <c r="C26" s="48" t="s">
        <v>456</v>
      </c>
      <c r="D26" s="48" t="str">
        <f>INPUT_DATA!A26</f>
        <v>B5</v>
      </c>
      <c r="E26" s="53">
        <f t="shared" si="6"/>
        <v>21.81</v>
      </c>
      <c r="F26" s="54">
        <f t="shared" si="7"/>
        <v>1041.3699999999999</v>
      </c>
      <c r="G26" s="57">
        <v>0.25</v>
      </c>
      <c r="H26" s="51">
        <f t="shared" si="8"/>
        <v>326.59562041420725</v>
      </c>
      <c r="I26" s="50">
        <f t="shared" si="9"/>
        <v>333.34000000000003</v>
      </c>
      <c r="J26" s="52">
        <f t="shared" si="10"/>
        <v>0.23998597383096945</v>
      </c>
    </row>
    <row r="27" spans="1:11" ht="24.95" customHeight="1" x14ac:dyDescent="0.25">
      <c r="A27" s="48">
        <f t="shared" si="11"/>
        <v>23</v>
      </c>
      <c r="B27" s="48" t="s">
        <v>461</v>
      </c>
      <c r="C27" s="48" t="s">
        <v>456</v>
      </c>
      <c r="D27" s="48" t="str">
        <f>INPUT_DATA!A27</f>
        <v>B6</v>
      </c>
      <c r="E27" s="53">
        <f t="shared" si="6"/>
        <v>26.34</v>
      </c>
      <c r="F27" s="54">
        <f t="shared" si="7"/>
        <v>1041.3</v>
      </c>
      <c r="G27" s="57">
        <v>0.25</v>
      </c>
      <c r="H27" s="51">
        <f t="shared" si="8"/>
        <v>358.92607195021247</v>
      </c>
      <c r="I27" s="50">
        <f t="shared" si="9"/>
        <v>381</v>
      </c>
      <c r="J27" s="52">
        <f t="shared" si="10"/>
        <v>0.22187075923562302</v>
      </c>
    </row>
    <row r="28" spans="1:11" ht="24.95" customHeight="1" x14ac:dyDescent="0.25">
      <c r="A28" s="48">
        <f t="shared" si="11"/>
        <v>24</v>
      </c>
      <c r="B28" s="48" t="s">
        <v>462</v>
      </c>
      <c r="C28" s="48" t="s">
        <v>456</v>
      </c>
      <c r="D28" s="48" t="str">
        <f>INPUT_DATA!A28</f>
        <v>B7</v>
      </c>
      <c r="E28" s="53">
        <f t="shared" si="6"/>
        <v>31.02</v>
      </c>
      <c r="F28" s="54">
        <f t="shared" si="7"/>
        <v>1041.1600000000001</v>
      </c>
      <c r="G28" s="57">
        <v>0.3</v>
      </c>
      <c r="H28" s="51">
        <f t="shared" si="8"/>
        <v>355.59577422727074</v>
      </c>
      <c r="I28" s="50">
        <f t="shared" si="9"/>
        <v>381</v>
      </c>
      <c r="J28" s="52">
        <f t="shared" si="10"/>
        <v>0.26132712226071486</v>
      </c>
    </row>
    <row r="29" spans="1:11" ht="24.95" customHeight="1" x14ac:dyDescent="0.25">
      <c r="A29" s="48">
        <f t="shared" si="11"/>
        <v>25</v>
      </c>
      <c r="B29" s="48" t="s">
        <v>463</v>
      </c>
      <c r="C29" s="48" t="s">
        <v>456</v>
      </c>
      <c r="D29" s="48" t="str">
        <f>INPUT_DATA!A29</f>
        <v>B8</v>
      </c>
      <c r="E29" s="53">
        <f t="shared" si="6"/>
        <v>35.549999999999997</v>
      </c>
      <c r="F29" s="54">
        <f t="shared" si="7"/>
        <v>1041.23</v>
      </c>
      <c r="G29" s="57">
        <v>0.3</v>
      </c>
      <c r="H29" s="51">
        <f t="shared" si="8"/>
        <v>380.66320358659527</v>
      </c>
      <c r="I29" s="50">
        <f t="shared" si="9"/>
        <v>428.6</v>
      </c>
      <c r="J29" s="52">
        <f t="shared" si="10"/>
        <v>0.23664575463681195</v>
      </c>
    </row>
    <row r="30" spans="1:11" ht="24.95" customHeight="1" x14ac:dyDescent="0.25">
      <c r="A30" s="48">
        <f t="shared" si="11"/>
        <v>26</v>
      </c>
      <c r="B30" s="48" t="s">
        <v>464</v>
      </c>
      <c r="C30" s="48" t="s">
        <v>456</v>
      </c>
      <c r="D30" s="48" t="str">
        <f>INPUT_DATA!A30</f>
        <v>B9</v>
      </c>
      <c r="E30" s="53">
        <f t="shared" si="6"/>
        <v>39.83</v>
      </c>
      <c r="F30" s="54">
        <f t="shared" si="7"/>
        <v>1041.51</v>
      </c>
      <c r="G30" s="57">
        <v>0.08</v>
      </c>
      <c r="H30" s="51">
        <f t="shared" si="8"/>
        <v>780.15967188025559</v>
      </c>
      <c r="I30" s="55" t="str">
        <f t="shared" si="9"/>
        <v>Plate</v>
      </c>
      <c r="J30" s="51" t="str">
        <f t="shared" si="10"/>
        <v/>
      </c>
    </row>
    <row r="31" spans="1:11" ht="24.95" customHeight="1" x14ac:dyDescent="0.25">
      <c r="A31" s="48">
        <f t="shared" si="11"/>
        <v>27</v>
      </c>
      <c r="B31" s="48" t="s">
        <v>465</v>
      </c>
      <c r="C31" s="48" t="s">
        <v>456</v>
      </c>
      <c r="D31" s="48" t="str">
        <f>INPUT_DATA!A31</f>
        <v>B10</v>
      </c>
      <c r="E31" s="53">
        <f t="shared" si="6"/>
        <v>39.83351434241419</v>
      </c>
      <c r="F31" s="66">
        <f t="shared" si="7"/>
        <v>1039.7241817430499</v>
      </c>
      <c r="G31" s="57">
        <v>0.08</v>
      </c>
      <c r="H31" s="51">
        <f t="shared" si="8"/>
        <v>780.86382797287911</v>
      </c>
      <c r="I31" s="55" t="str">
        <f t="shared" si="9"/>
        <v>Plate</v>
      </c>
      <c r="J31" s="51" t="str">
        <f t="shared" si="10"/>
        <v/>
      </c>
    </row>
    <row r="32" spans="1:11" ht="24.95" customHeight="1" x14ac:dyDescent="0.25">
      <c r="A32" s="48">
        <f t="shared" si="11"/>
        <v>28</v>
      </c>
      <c r="B32" s="48" t="s">
        <v>466</v>
      </c>
      <c r="C32" s="48" t="s">
        <v>456</v>
      </c>
      <c r="D32" s="48" t="str">
        <f>INPUT_DATA!A32</f>
        <v>B11</v>
      </c>
      <c r="E32" s="53" t="str">
        <f t="shared" si="6"/>
        <v>HOLD</v>
      </c>
      <c r="F32" s="66">
        <f t="shared" si="7"/>
        <v>1040.3578941872499</v>
      </c>
      <c r="G32" s="50"/>
      <c r="H32" s="51" t="str">
        <f t="shared" si="8"/>
        <v/>
      </c>
      <c r="I32" s="51" t="str">
        <f t="shared" si="9"/>
        <v>Check Size</v>
      </c>
      <c r="J32" s="51" t="str">
        <f t="shared" si="10"/>
        <v/>
      </c>
    </row>
    <row r="33" spans="1:10" ht="24.95" customHeight="1" x14ac:dyDescent="0.25">
      <c r="A33" s="48">
        <f t="shared" si="11"/>
        <v>29</v>
      </c>
      <c r="B33" s="48" t="s">
        <v>467</v>
      </c>
      <c r="C33" s="48" t="s">
        <v>456</v>
      </c>
      <c r="D33" s="48" t="str">
        <f>INPUT_DATA!A33</f>
        <v>B12</v>
      </c>
      <c r="E33" s="53" t="str">
        <f t="shared" si="6"/>
        <v>HOLD</v>
      </c>
      <c r="F33" s="66">
        <f t="shared" si="7"/>
        <v>1040.3578941872499</v>
      </c>
      <c r="G33" s="50">
        <v>1</v>
      </c>
      <c r="H33" s="51" t="str">
        <f t="shared" si="8"/>
        <v/>
      </c>
      <c r="I33" s="50" t="str">
        <f t="shared" si="9"/>
        <v>Check Size</v>
      </c>
      <c r="J33" s="52" t="str">
        <f t="shared" si="10"/>
        <v/>
      </c>
    </row>
    <row r="34" spans="1:10" ht="24.95" customHeight="1" x14ac:dyDescent="0.25">
      <c r="A34" s="48">
        <f t="shared" si="11"/>
        <v>30</v>
      </c>
      <c r="B34" s="48" t="s">
        <v>468</v>
      </c>
      <c r="C34" s="48" t="s">
        <v>456</v>
      </c>
      <c r="D34" s="48" t="str">
        <f>INPUT_DATA!A34</f>
        <v>B13</v>
      </c>
      <c r="E34" s="53">
        <f t="shared" si="6"/>
        <v>18.925000000000001</v>
      </c>
      <c r="F34" s="66">
        <f t="shared" si="7"/>
        <v>1040.3578941872499</v>
      </c>
      <c r="G34" s="50">
        <v>1.5</v>
      </c>
      <c r="H34" s="51">
        <f t="shared" si="8"/>
        <v>124.26132792501858</v>
      </c>
      <c r="I34" s="50">
        <f t="shared" si="9"/>
        <v>154.08000000000001</v>
      </c>
      <c r="J34" s="52">
        <f t="shared" si="10"/>
        <v>0.97559754845316682</v>
      </c>
    </row>
    <row r="35" spans="1:10" ht="24.95" customHeight="1" x14ac:dyDescent="0.25">
      <c r="A35" s="48">
        <f t="shared" si="11"/>
        <v>31</v>
      </c>
      <c r="B35" s="48" t="s">
        <v>469</v>
      </c>
      <c r="C35" s="48" t="s">
        <v>456</v>
      </c>
      <c r="D35" s="48" t="str">
        <f>INPUT_DATA!A35</f>
        <v>B14</v>
      </c>
      <c r="E35" s="53">
        <f t="shared" si="6"/>
        <v>18.925000000000001</v>
      </c>
      <c r="F35" s="66">
        <f t="shared" si="7"/>
        <v>1040.3578941872499</v>
      </c>
      <c r="G35" s="50">
        <v>1.5</v>
      </c>
      <c r="H35" s="51">
        <f t="shared" si="8"/>
        <v>124.26132792501858</v>
      </c>
      <c r="I35" s="50">
        <f t="shared" si="9"/>
        <v>154.08000000000001</v>
      </c>
      <c r="J35" s="52">
        <f t="shared" si="10"/>
        <v>0.97559754845316682</v>
      </c>
    </row>
    <row r="36" spans="1:10" ht="24.95" customHeight="1" x14ac:dyDescent="0.25">
      <c r="A36" s="48">
        <f t="shared" si="11"/>
        <v>32</v>
      </c>
      <c r="B36" s="48" t="s">
        <v>470</v>
      </c>
      <c r="C36" s="48" t="s">
        <v>456</v>
      </c>
      <c r="D36" s="48" t="str">
        <f>INPUT_DATA!A36</f>
        <v>B15</v>
      </c>
      <c r="E36" s="53">
        <f t="shared" si="6"/>
        <v>1.84</v>
      </c>
      <c r="F36" s="66">
        <f t="shared" si="7"/>
        <v>1040.3578941872499</v>
      </c>
      <c r="G36" s="50">
        <v>0.5</v>
      </c>
      <c r="H36" s="51">
        <f t="shared" si="8"/>
        <v>67.110053524021296</v>
      </c>
      <c r="I36" s="50">
        <f t="shared" si="9"/>
        <v>77.92</v>
      </c>
      <c r="J36" s="52">
        <f t="shared" si="10"/>
        <v>0.37089184722947127</v>
      </c>
    </row>
    <row r="37" spans="1:10" ht="24.95" customHeight="1" x14ac:dyDescent="0.25">
      <c r="A37" s="48">
        <f t="shared" si="11"/>
        <v>33</v>
      </c>
      <c r="B37" s="48" t="s">
        <v>471</v>
      </c>
      <c r="C37" s="48" t="s">
        <v>456</v>
      </c>
      <c r="D37" s="48" t="str">
        <f>INPUT_DATA!A37</f>
        <v>B16</v>
      </c>
      <c r="E37" s="53">
        <f t="shared" si="6"/>
        <v>1.84</v>
      </c>
      <c r="F37" s="66">
        <f t="shared" si="7"/>
        <v>1040.3578941872499</v>
      </c>
      <c r="G37" s="50">
        <v>0.5</v>
      </c>
      <c r="H37" s="51">
        <f t="shared" si="8"/>
        <v>67.110053524021296</v>
      </c>
      <c r="I37" s="50">
        <f t="shared" si="9"/>
        <v>77.92</v>
      </c>
      <c r="J37" s="52">
        <f t="shared" si="10"/>
        <v>0.37089184722947127</v>
      </c>
    </row>
    <row r="38" spans="1:10" ht="24.95" customHeight="1" x14ac:dyDescent="0.25">
      <c r="A38" s="48">
        <f t="shared" si="11"/>
        <v>34</v>
      </c>
      <c r="B38" s="48" t="s">
        <v>472</v>
      </c>
      <c r="C38" s="48" t="s">
        <v>456</v>
      </c>
      <c r="D38" s="48" t="str">
        <f>INPUT_DATA!A38</f>
        <v>B17</v>
      </c>
      <c r="E38" s="53">
        <f t="shared" si="6"/>
        <v>1.83</v>
      </c>
      <c r="F38" s="66">
        <f t="shared" si="7"/>
        <v>1040.3578941872499</v>
      </c>
      <c r="G38" s="50">
        <v>0.5</v>
      </c>
      <c r="H38" s="51">
        <f t="shared" si="8"/>
        <v>66.927440794987703</v>
      </c>
      <c r="I38" s="50">
        <f t="shared" si="9"/>
        <v>77.92</v>
      </c>
      <c r="J38" s="52">
        <f t="shared" si="10"/>
        <v>0.36887613066844149</v>
      </c>
    </row>
    <row r="39" spans="1:10" ht="24.95" customHeight="1" x14ac:dyDescent="0.25">
      <c r="A39" s="48">
        <f t="shared" si="11"/>
        <v>35</v>
      </c>
      <c r="B39" s="48" t="s">
        <v>473</v>
      </c>
      <c r="C39" s="48" t="s">
        <v>456</v>
      </c>
      <c r="D39" s="48" t="str">
        <f>INPUT_DATA!A39</f>
        <v>B18</v>
      </c>
      <c r="E39" s="53">
        <f t="shared" si="6"/>
        <v>2.31</v>
      </c>
      <c r="F39" s="66">
        <f t="shared" si="7"/>
        <v>1040.3578941872499</v>
      </c>
      <c r="G39" s="50">
        <v>0.7</v>
      </c>
      <c r="H39" s="51">
        <f t="shared" si="8"/>
        <v>63.550744952510605</v>
      </c>
      <c r="I39" s="50">
        <f t="shared" si="9"/>
        <v>77.92</v>
      </c>
      <c r="J39" s="52">
        <f t="shared" si="10"/>
        <v>0.46563052559786877</v>
      </c>
    </row>
    <row r="40" spans="1:10" ht="24.95" customHeight="1" x14ac:dyDescent="0.25">
      <c r="A40" s="48">
        <f t="shared" si="11"/>
        <v>36</v>
      </c>
      <c r="B40" s="48" t="s">
        <v>474</v>
      </c>
      <c r="C40" s="48" t="s">
        <v>456</v>
      </c>
      <c r="D40" s="48" t="str">
        <f>INPUT_DATA!A40</f>
        <v>B19</v>
      </c>
      <c r="E40" s="53">
        <f t="shared" si="6"/>
        <v>2.31</v>
      </c>
      <c r="F40" s="66">
        <f t="shared" si="7"/>
        <v>1040.3578941872499</v>
      </c>
      <c r="G40" s="50">
        <v>0.7</v>
      </c>
      <c r="H40" s="51">
        <f t="shared" si="8"/>
        <v>63.550744952510605</v>
      </c>
      <c r="I40" s="50">
        <f t="shared" si="9"/>
        <v>77.92</v>
      </c>
      <c r="J40" s="52">
        <f t="shared" si="10"/>
        <v>0.46563052559786877</v>
      </c>
    </row>
    <row r="41" spans="1:10" ht="24.95" customHeight="1" x14ac:dyDescent="0.25">
      <c r="A41" s="48">
        <f t="shared" si="11"/>
        <v>37</v>
      </c>
      <c r="B41" s="48" t="s">
        <v>475</v>
      </c>
      <c r="C41" s="48" t="s">
        <v>456</v>
      </c>
      <c r="D41" s="48" t="str">
        <f>INPUT_DATA!A41</f>
        <v>B20</v>
      </c>
      <c r="E41" s="53">
        <f t="shared" si="6"/>
        <v>2.31</v>
      </c>
      <c r="F41" s="66">
        <f t="shared" si="7"/>
        <v>1040.3578941872499</v>
      </c>
      <c r="G41" s="50">
        <v>0.7</v>
      </c>
      <c r="H41" s="51">
        <f t="shared" si="8"/>
        <v>63.550744952510605</v>
      </c>
      <c r="I41" s="50">
        <f t="shared" si="9"/>
        <v>77.92</v>
      </c>
      <c r="J41" s="52">
        <f t="shared" si="10"/>
        <v>0.46563052559786877</v>
      </c>
    </row>
    <row r="42" spans="1:10" ht="24.95" customHeight="1" x14ac:dyDescent="0.25">
      <c r="A42" s="48">
        <f t="shared" si="11"/>
        <v>38</v>
      </c>
      <c r="B42" s="48" t="s">
        <v>476</v>
      </c>
      <c r="C42" s="48" t="s">
        <v>456</v>
      </c>
      <c r="D42" s="48" t="str">
        <f>INPUT_DATA!A42</f>
        <v>B21</v>
      </c>
      <c r="E42" s="53">
        <f t="shared" si="6"/>
        <v>2.16</v>
      </c>
      <c r="F42" s="66">
        <f t="shared" si="7"/>
        <v>1040.3578941872499</v>
      </c>
      <c r="G42" s="50">
        <v>0.7</v>
      </c>
      <c r="H42" s="51">
        <f t="shared" si="8"/>
        <v>61.452779596383692</v>
      </c>
      <c r="I42" s="50">
        <f t="shared" si="9"/>
        <v>77.92</v>
      </c>
      <c r="J42" s="52">
        <f t="shared" si="10"/>
        <v>0.43539477718242275</v>
      </c>
    </row>
    <row r="43" spans="1:10" ht="24.95" customHeight="1" x14ac:dyDescent="0.25">
      <c r="A43" s="48">
        <f t="shared" si="11"/>
        <v>39</v>
      </c>
      <c r="B43" s="48" t="s">
        <v>477</v>
      </c>
      <c r="C43" s="48" t="s">
        <v>456</v>
      </c>
      <c r="D43" s="48" t="str">
        <f>INPUT_DATA!A43</f>
        <v>B22</v>
      </c>
      <c r="E43" s="53">
        <f t="shared" si="6"/>
        <v>2.16</v>
      </c>
      <c r="F43" s="66">
        <f t="shared" si="7"/>
        <v>1040.3578941872499</v>
      </c>
      <c r="G43" s="50">
        <v>0.7</v>
      </c>
      <c r="H43" s="51">
        <f t="shared" si="8"/>
        <v>61.452779596383692</v>
      </c>
      <c r="I43" s="50">
        <f t="shared" si="9"/>
        <v>77.92</v>
      </c>
      <c r="J43" s="52">
        <f t="shared" si="10"/>
        <v>0.43539477718242275</v>
      </c>
    </row>
    <row r="44" spans="1:10" ht="24.95" customHeight="1" x14ac:dyDescent="0.25">
      <c r="A44" s="48">
        <f t="shared" si="11"/>
        <v>40</v>
      </c>
      <c r="B44" s="48" t="s">
        <v>478</v>
      </c>
      <c r="C44" s="48" t="s">
        <v>456</v>
      </c>
      <c r="D44" s="48" t="str">
        <f>INPUT_DATA!A44</f>
        <v>B23</v>
      </c>
      <c r="E44" s="53">
        <f t="shared" si="6"/>
        <v>2.16</v>
      </c>
      <c r="F44" s="66">
        <f t="shared" si="7"/>
        <v>1040.3578941872499</v>
      </c>
      <c r="G44" s="50">
        <v>0.7</v>
      </c>
      <c r="H44" s="51">
        <f t="shared" si="8"/>
        <v>61.452779596383692</v>
      </c>
      <c r="I44" s="50">
        <f t="shared" si="9"/>
        <v>77.92</v>
      </c>
      <c r="J44" s="52">
        <f t="shared" si="10"/>
        <v>0.43539477718242275</v>
      </c>
    </row>
    <row r="45" spans="1:10" ht="24.95" customHeight="1" x14ac:dyDescent="0.25">
      <c r="A45" s="94" t="s">
        <v>479</v>
      </c>
      <c r="B45" s="94"/>
      <c r="C45" s="94"/>
      <c r="D45" s="94"/>
      <c r="E45" s="94"/>
      <c r="F45" s="94"/>
      <c r="G45" s="94"/>
      <c r="H45" s="94"/>
      <c r="I45" s="94"/>
      <c r="J45" s="94"/>
    </row>
    <row r="46" spans="1:10" ht="24.95" customHeight="1" x14ac:dyDescent="0.25">
      <c r="A46" s="48">
        <f>A44+1</f>
        <v>41</v>
      </c>
      <c r="B46" s="48" t="s">
        <v>480</v>
      </c>
      <c r="C46" s="48" t="s">
        <v>481</v>
      </c>
      <c r="D46" s="48" t="str">
        <f>INPUT_DATA!A46</f>
        <v>D1</v>
      </c>
      <c r="E46" s="49">
        <f t="shared" ref="E46:E77" si="12">IFERROR(INDEX(FlowRates_kgs,MATCH(D46,LineTags,0)),"")</f>
        <v>1.88</v>
      </c>
      <c r="F46" s="50">
        <f t="shared" ref="F46:F77" si="13">IFERROR(INDEX(Densities,MATCH(D46,LineTags,0)),"")</f>
        <v>988.02800000000002</v>
      </c>
      <c r="G46" s="50">
        <v>0.3</v>
      </c>
      <c r="H46" s="51">
        <f t="shared" ref="H46:H77" si="14">IFERROR(SQRT((4*E46)/(PI()*F46*G46))*1000,"")</f>
        <v>89.864617560863792</v>
      </c>
      <c r="I46" s="50">
        <f t="shared" ref="I46:I77" si="15">IFERROR(VLOOKUP(ROUNDUP(H46,-1),PipeReference,2,TRUE),"Check Size")</f>
        <v>102.25999999999999</v>
      </c>
      <c r="J46" s="52">
        <f t="shared" ref="J46:J77" si="16">IFERROR((4*E46)/(PI()*F46*(I46/1000)^2),"")</f>
        <v>0.23167925008327281</v>
      </c>
    </row>
    <row r="47" spans="1:10" ht="24.95" customHeight="1" x14ac:dyDescent="0.25">
      <c r="A47" s="48">
        <f t="shared" ref="A47:A77" si="17">A46+1</f>
        <v>42</v>
      </c>
      <c r="B47" s="48" t="s">
        <v>482</v>
      </c>
      <c r="C47" s="48" t="s">
        <v>481</v>
      </c>
      <c r="D47" s="48" t="str">
        <f>INPUT_DATA!A47</f>
        <v>D2</v>
      </c>
      <c r="E47" s="49">
        <f t="shared" si="12"/>
        <v>3.38</v>
      </c>
      <c r="F47" s="50">
        <f t="shared" si="13"/>
        <v>989.70799999999997</v>
      </c>
      <c r="G47" s="50">
        <v>0.3</v>
      </c>
      <c r="H47" s="51">
        <f t="shared" si="14"/>
        <v>120.39244701387375</v>
      </c>
      <c r="I47" s="50">
        <f t="shared" si="15"/>
        <v>154.08000000000001</v>
      </c>
      <c r="J47" s="52">
        <f t="shared" si="16"/>
        <v>0.18315855078809132</v>
      </c>
    </row>
    <row r="48" spans="1:10" ht="24.95" customHeight="1" x14ac:dyDescent="0.25">
      <c r="A48" s="48">
        <f t="shared" si="17"/>
        <v>43</v>
      </c>
      <c r="B48" s="48" t="s">
        <v>483</v>
      </c>
      <c r="C48" s="48" t="s">
        <v>481</v>
      </c>
      <c r="D48" s="48" t="str">
        <f>INPUT_DATA!A48</f>
        <v>D3</v>
      </c>
      <c r="E48" s="49">
        <f t="shared" si="12"/>
        <v>4.68</v>
      </c>
      <c r="F48" s="50">
        <f t="shared" si="13"/>
        <v>990.91099999999994</v>
      </c>
      <c r="G48" s="50">
        <v>0.3</v>
      </c>
      <c r="H48" s="51">
        <f t="shared" si="14"/>
        <v>141.57938899694713</v>
      </c>
      <c r="I48" s="50">
        <f t="shared" si="15"/>
        <v>154.08000000000001</v>
      </c>
      <c r="J48" s="52">
        <f t="shared" si="16"/>
        <v>0.25329626309689113</v>
      </c>
    </row>
    <row r="49" spans="1:10" ht="24.95" customHeight="1" x14ac:dyDescent="0.25">
      <c r="A49" s="48">
        <f t="shared" si="17"/>
        <v>44</v>
      </c>
      <c r="B49" s="48" t="s">
        <v>484</v>
      </c>
      <c r="C49" s="48" t="s">
        <v>481</v>
      </c>
      <c r="D49" s="48" t="str">
        <f>INPUT_DATA!A49</f>
        <v>D4</v>
      </c>
      <c r="E49" s="49">
        <f t="shared" si="12"/>
        <v>5.84</v>
      </c>
      <c r="F49" s="50">
        <f t="shared" si="13"/>
        <v>991.94500000000005</v>
      </c>
      <c r="G49" s="50">
        <v>0.3</v>
      </c>
      <c r="H49" s="51">
        <f t="shared" si="14"/>
        <v>158.0727683375666</v>
      </c>
      <c r="I49" s="50">
        <f t="shared" si="15"/>
        <v>202.74</v>
      </c>
      <c r="J49" s="52">
        <f t="shared" si="16"/>
        <v>0.18237129784443501</v>
      </c>
    </row>
    <row r="50" spans="1:10" ht="24.95" customHeight="1" x14ac:dyDescent="0.25">
      <c r="A50" s="48">
        <f t="shared" si="17"/>
        <v>45</v>
      </c>
      <c r="B50" s="48" t="s">
        <v>485</v>
      </c>
      <c r="C50" s="48" t="s">
        <v>481</v>
      </c>
      <c r="D50" s="48" t="str">
        <f>INPUT_DATA!A50</f>
        <v>D5</v>
      </c>
      <c r="E50" s="49">
        <f t="shared" si="12"/>
        <v>6.93</v>
      </c>
      <c r="F50" s="50">
        <f t="shared" si="13"/>
        <v>992.85799999999995</v>
      </c>
      <c r="G50" s="50">
        <v>0.3</v>
      </c>
      <c r="H50" s="51">
        <f t="shared" si="14"/>
        <v>172.11450791133663</v>
      </c>
      <c r="I50" s="50">
        <f t="shared" si="15"/>
        <v>202.74</v>
      </c>
      <c r="J50" s="52">
        <f t="shared" si="16"/>
        <v>0.21621077297229169</v>
      </c>
    </row>
    <row r="51" spans="1:10" ht="24.95" customHeight="1" x14ac:dyDescent="0.25">
      <c r="A51" s="48">
        <f t="shared" si="17"/>
        <v>46</v>
      </c>
      <c r="B51" s="48" t="s">
        <v>486</v>
      </c>
      <c r="C51" s="48" t="s">
        <v>481</v>
      </c>
      <c r="D51" s="48" t="str">
        <f>INPUT_DATA!A51</f>
        <v>D6</v>
      </c>
      <c r="E51" s="49">
        <f t="shared" si="12"/>
        <v>7.98</v>
      </c>
      <c r="F51" s="50">
        <f t="shared" si="13"/>
        <v>993.69299999999998</v>
      </c>
      <c r="G51" s="50">
        <v>0.3</v>
      </c>
      <c r="H51" s="51">
        <f t="shared" si="14"/>
        <v>184.6161808116095</v>
      </c>
      <c r="I51" s="50">
        <f t="shared" si="15"/>
        <v>202.74</v>
      </c>
      <c r="J51" s="52">
        <f t="shared" si="16"/>
        <v>0.248760771580464</v>
      </c>
    </row>
    <row r="52" spans="1:10" ht="24.95" customHeight="1" x14ac:dyDescent="0.25">
      <c r="A52" s="48">
        <f t="shared" si="17"/>
        <v>47</v>
      </c>
      <c r="B52" s="48" t="s">
        <v>487</v>
      </c>
      <c r="C52" s="48" t="s">
        <v>481</v>
      </c>
      <c r="D52" s="48" t="str">
        <f>INPUT_DATA!A52</f>
        <v>D7</v>
      </c>
      <c r="E52" s="49">
        <f t="shared" si="12"/>
        <v>9.06</v>
      </c>
      <c r="F52" s="50">
        <f t="shared" si="13"/>
        <v>994.476</v>
      </c>
      <c r="G52" s="50">
        <v>0.3</v>
      </c>
      <c r="H52" s="51">
        <f t="shared" si="14"/>
        <v>196.63525127088462</v>
      </c>
      <c r="I52" s="50">
        <f t="shared" si="15"/>
        <v>202.74</v>
      </c>
      <c r="J52" s="52">
        <f t="shared" si="16"/>
        <v>0.28220527371024612</v>
      </c>
    </row>
    <row r="53" spans="1:10" ht="24.95" customHeight="1" x14ac:dyDescent="0.25">
      <c r="A53" s="48">
        <f t="shared" si="17"/>
        <v>48</v>
      </c>
      <c r="B53" s="48" t="s">
        <v>488</v>
      </c>
      <c r="C53" s="48" t="s">
        <v>481</v>
      </c>
      <c r="D53" s="48" t="str">
        <f>INPUT_DATA!A53</f>
        <v>D8</v>
      </c>
      <c r="E53" s="49">
        <f t="shared" si="12"/>
        <v>10.210000000000001</v>
      </c>
      <c r="F53" s="50">
        <f t="shared" si="13"/>
        <v>995.24400000000003</v>
      </c>
      <c r="G53" s="50">
        <v>0.3</v>
      </c>
      <c r="H53" s="51">
        <f t="shared" si="14"/>
        <v>208.66159317018955</v>
      </c>
      <c r="I53" s="50">
        <f t="shared" si="15"/>
        <v>254.56000000000003</v>
      </c>
      <c r="J53" s="52">
        <f t="shared" si="16"/>
        <v>0.20157003353885633</v>
      </c>
    </row>
    <row r="54" spans="1:10" ht="24.95" customHeight="1" x14ac:dyDescent="0.25">
      <c r="A54" s="48">
        <f t="shared" si="17"/>
        <v>49</v>
      </c>
      <c r="B54" s="48" t="s">
        <v>489</v>
      </c>
      <c r="C54" s="48" t="s">
        <v>481</v>
      </c>
      <c r="D54" s="48" t="str">
        <f>INPUT_DATA!A54</f>
        <v>D9</v>
      </c>
      <c r="E54" s="49">
        <f t="shared" si="12"/>
        <v>11.51</v>
      </c>
      <c r="F54" s="50">
        <f t="shared" si="13"/>
        <v>996.01900000000001</v>
      </c>
      <c r="G54" s="50">
        <v>0.1</v>
      </c>
      <c r="H54" s="51">
        <f t="shared" si="14"/>
        <v>383.58260974169667</v>
      </c>
      <c r="I54" s="50">
        <f t="shared" si="15"/>
        <v>428.6</v>
      </c>
      <c r="J54" s="52">
        <f t="shared" si="16"/>
        <v>8.0096490182172284E-2</v>
      </c>
    </row>
    <row r="55" spans="1:10" ht="24.95" customHeight="1" x14ac:dyDescent="0.25">
      <c r="A55" s="48">
        <f t="shared" si="17"/>
        <v>50</v>
      </c>
      <c r="B55" s="48" t="s">
        <v>490</v>
      </c>
      <c r="C55" s="48" t="s">
        <v>481</v>
      </c>
      <c r="D55" s="48" t="str">
        <f>INPUT_DATA!A55</f>
        <v>D10</v>
      </c>
      <c r="E55" s="49">
        <f t="shared" si="12"/>
        <v>11.58</v>
      </c>
      <c r="F55" s="50">
        <f t="shared" si="13"/>
        <v>991.33398190206196</v>
      </c>
      <c r="G55" s="50">
        <v>0.1</v>
      </c>
      <c r="H55" s="51">
        <f t="shared" si="14"/>
        <v>385.65533377365745</v>
      </c>
      <c r="I55" s="50">
        <f t="shared" si="15"/>
        <v>428.6</v>
      </c>
      <c r="J55" s="52">
        <f t="shared" si="16"/>
        <v>8.0964446457691269E-2</v>
      </c>
    </row>
    <row r="56" spans="1:10" ht="24.95" customHeight="1" x14ac:dyDescent="0.25">
      <c r="A56" s="48">
        <f t="shared" si="17"/>
        <v>51</v>
      </c>
      <c r="B56" s="48" t="s">
        <v>491</v>
      </c>
      <c r="C56" s="48" t="s">
        <v>481</v>
      </c>
      <c r="D56" s="48" t="str">
        <f>INPUT_DATA!A56</f>
        <v>D11</v>
      </c>
      <c r="E56" s="49">
        <f t="shared" si="12"/>
        <v>11.58</v>
      </c>
      <c r="F56" s="50">
        <f t="shared" si="13"/>
        <v>991.33398190206196</v>
      </c>
      <c r="G56" s="50">
        <v>1.5</v>
      </c>
      <c r="H56" s="51">
        <f t="shared" si="14"/>
        <v>99.575779005429197</v>
      </c>
      <c r="I56" s="50">
        <f t="shared" si="15"/>
        <v>102.25999999999999</v>
      </c>
      <c r="J56" s="52">
        <f t="shared" si="16"/>
        <v>1.4222865648630332</v>
      </c>
    </row>
    <row r="57" spans="1:10" ht="24.95" customHeight="1" x14ac:dyDescent="0.25">
      <c r="A57" s="48">
        <f t="shared" si="17"/>
        <v>52</v>
      </c>
      <c r="B57" s="48" t="s">
        <v>492</v>
      </c>
      <c r="C57" s="48" t="s">
        <v>481</v>
      </c>
      <c r="D57" s="48" t="str">
        <f>INPUT_DATA!A57</f>
        <v>D12</v>
      </c>
      <c r="E57" s="49">
        <f t="shared" si="12"/>
        <v>11.58</v>
      </c>
      <c r="F57" s="50">
        <f t="shared" si="13"/>
        <v>991.33398190206196</v>
      </c>
      <c r="G57" s="50">
        <v>1.5</v>
      </c>
      <c r="H57" s="51">
        <f t="shared" si="14"/>
        <v>99.575779005429197</v>
      </c>
      <c r="I57" s="50">
        <f t="shared" si="15"/>
        <v>102.25999999999999</v>
      </c>
      <c r="J57" s="52">
        <f t="shared" si="16"/>
        <v>1.4222865648630332</v>
      </c>
    </row>
    <row r="58" spans="1:10" ht="24.95" customHeight="1" x14ac:dyDescent="0.25">
      <c r="A58" s="48">
        <f t="shared" si="17"/>
        <v>53</v>
      </c>
      <c r="B58" s="48" t="s">
        <v>493</v>
      </c>
      <c r="C58" s="48" t="s">
        <v>481</v>
      </c>
      <c r="D58" s="48" t="str">
        <f>INPUT_DATA!A57</f>
        <v>D12</v>
      </c>
      <c r="E58" s="49">
        <f t="shared" si="12"/>
        <v>11.58</v>
      </c>
      <c r="F58" s="50">
        <f t="shared" si="13"/>
        <v>991.33398190206196</v>
      </c>
      <c r="G58" s="50">
        <v>1.5</v>
      </c>
      <c r="H58" s="51">
        <f t="shared" si="14"/>
        <v>99.575779005429197</v>
      </c>
      <c r="I58" s="50">
        <f t="shared" si="15"/>
        <v>102.25999999999999</v>
      </c>
      <c r="J58" s="52">
        <f t="shared" si="16"/>
        <v>1.4222865648630332</v>
      </c>
    </row>
    <row r="59" spans="1:10" ht="24.95" customHeight="1" x14ac:dyDescent="0.25">
      <c r="A59" s="48">
        <f t="shared" si="17"/>
        <v>54</v>
      </c>
      <c r="B59" s="48" t="s">
        <v>494</v>
      </c>
      <c r="C59" s="48" t="s">
        <v>481</v>
      </c>
      <c r="D59" s="48" t="str">
        <f>INPUT_DATA!A57</f>
        <v>D12</v>
      </c>
      <c r="E59" s="49">
        <f t="shared" si="12"/>
        <v>11.58</v>
      </c>
      <c r="F59" s="50">
        <f t="shared" si="13"/>
        <v>991.33398190206196</v>
      </c>
      <c r="G59" s="50">
        <v>1.5</v>
      </c>
      <c r="H59" s="51">
        <f t="shared" si="14"/>
        <v>99.575779005429197</v>
      </c>
      <c r="I59" s="50">
        <f t="shared" si="15"/>
        <v>102.25999999999999</v>
      </c>
      <c r="J59" s="52">
        <f t="shared" si="16"/>
        <v>1.4222865648630332</v>
      </c>
    </row>
    <row r="60" spans="1:10" ht="24.95" customHeight="1" x14ac:dyDescent="0.25">
      <c r="A60" s="48">
        <f t="shared" si="17"/>
        <v>55</v>
      </c>
      <c r="B60" s="48" t="s">
        <v>495</v>
      </c>
      <c r="C60" s="48" t="s">
        <v>481</v>
      </c>
      <c r="D60" s="48" t="str">
        <f>INPUT_DATA!A60</f>
        <v>D15</v>
      </c>
      <c r="E60" s="49">
        <f t="shared" si="12"/>
        <v>0.61099999999999999</v>
      </c>
      <c r="F60" s="50">
        <f t="shared" si="13"/>
        <v>996.01900000000001</v>
      </c>
      <c r="G60" s="50">
        <v>1.5</v>
      </c>
      <c r="H60" s="51">
        <f t="shared" si="14"/>
        <v>22.818979771873842</v>
      </c>
      <c r="I60" s="50">
        <f t="shared" si="15"/>
        <v>40.94</v>
      </c>
      <c r="J60" s="52">
        <f t="shared" si="16"/>
        <v>0.46600226667916889</v>
      </c>
    </row>
    <row r="61" spans="1:10" ht="24.95" customHeight="1" x14ac:dyDescent="0.25">
      <c r="A61" s="48">
        <f t="shared" si="17"/>
        <v>56</v>
      </c>
      <c r="B61" s="48" t="s">
        <v>496</v>
      </c>
      <c r="C61" s="48" t="s">
        <v>481</v>
      </c>
      <c r="D61" s="48" t="str">
        <f>INPUT_DATA!A60</f>
        <v>D15</v>
      </c>
      <c r="E61" s="49">
        <f t="shared" si="12"/>
        <v>0.61099999999999999</v>
      </c>
      <c r="F61" s="50">
        <f t="shared" si="13"/>
        <v>996.01900000000001</v>
      </c>
      <c r="G61" s="50">
        <v>1.5</v>
      </c>
      <c r="H61" s="51">
        <f t="shared" si="14"/>
        <v>22.818979771873842</v>
      </c>
      <c r="I61" s="50">
        <f t="shared" si="15"/>
        <v>40.94</v>
      </c>
      <c r="J61" s="52">
        <f t="shared" si="16"/>
        <v>0.46600226667916889</v>
      </c>
    </row>
    <row r="62" spans="1:10" ht="24.95" customHeight="1" x14ac:dyDescent="0.25">
      <c r="A62" s="48">
        <f t="shared" si="17"/>
        <v>57</v>
      </c>
      <c r="B62" s="48" t="s">
        <v>497</v>
      </c>
      <c r="C62" s="48" t="s">
        <v>481</v>
      </c>
      <c r="D62" s="48" t="str">
        <f>INPUT_DATA!A60</f>
        <v>D15</v>
      </c>
      <c r="E62" s="49">
        <f t="shared" si="12"/>
        <v>0.61099999999999999</v>
      </c>
      <c r="F62" s="50">
        <f t="shared" si="13"/>
        <v>996.01900000000001</v>
      </c>
      <c r="G62" s="50">
        <v>1.5</v>
      </c>
      <c r="H62" s="51">
        <f t="shared" si="14"/>
        <v>22.818979771873842</v>
      </c>
      <c r="I62" s="50">
        <f t="shared" si="15"/>
        <v>40.94</v>
      </c>
      <c r="J62" s="52">
        <f t="shared" si="16"/>
        <v>0.46600226667916889</v>
      </c>
    </row>
    <row r="63" spans="1:10" ht="24.95" customHeight="1" x14ac:dyDescent="0.25">
      <c r="A63" s="48">
        <f t="shared" si="17"/>
        <v>58</v>
      </c>
      <c r="B63" s="48" t="s">
        <v>498</v>
      </c>
      <c r="C63" s="48" t="s">
        <v>481</v>
      </c>
      <c r="D63" s="48" t="str">
        <f>INPUT_DATA!A60</f>
        <v>D15</v>
      </c>
      <c r="E63" s="49">
        <f t="shared" si="12"/>
        <v>0.61099999999999999</v>
      </c>
      <c r="F63" s="50">
        <f t="shared" si="13"/>
        <v>996.01900000000001</v>
      </c>
      <c r="G63" s="50">
        <v>1.5</v>
      </c>
      <c r="H63" s="51">
        <f t="shared" si="14"/>
        <v>22.818979771873842</v>
      </c>
      <c r="I63" s="50">
        <f t="shared" si="15"/>
        <v>40.94</v>
      </c>
      <c r="J63" s="52">
        <f t="shared" si="16"/>
        <v>0.46600226667916889</v>
      </c>
    </row>
    <row r="64" spans="1:10" ht="24.95" customHeight="1" x14ac:dyDescent="0.25">
      <c r="A64" s="48">
        <f t="shared" si="17"/>
        <v>59</v>
      </c>
      <c r="B64" s="48" t="s">
        <v>499</v>
      </c>
      <c r="C64" s="48" t="s">
        <v>481</v>
      </c>
      <c r="D64" s="48" t="str">
        <f>INPUT_DATA!A61</f>
        <v>D16</v>
      </c>
      <c r="E64" s="49">
        <f t="shared" si="12"/>
        <v>0.04</v>
      </c>
      <c r="F64" s="50">
        <f t="shared" si="13"/>
        <v>993.44785156726505</v>
      </c>
      <c r="G64" s="50">
        <v>2</v>
      </c>
      <c r="H64" s="51">
        <f t="shared" si="14"/>
        <v>5.0628786687652045</v>
      </c>
      <c r="I64" s="50">
        <f t="shared" si="15"/>
        <v>15.76</v>
      </c>
      <c r="J64" s="52">
        <f t="shared" si="16"/>
        <v>0.20640138575006547</v>
      </c>
    </row>
    <row r="65" spans="1:10" ht="24.95" customHeight="1" x14ac:dyDescent="0.25">
      <c r="A65" s="48">
        <f t="shared" si="17"/>
        <v>60</v>
      </c>
      <c r="B65" s="48" t="s">
        <v>500</v>
      </c>
      <c r="C65" s="48" t="s">
        <v>481</v>
      </c>
      <c r="D65" s="48" t="str">
        <f>INPUT_DATA!A61</f>
        <v>D16</v>
      </c>
      <c r="E65" s="49">
        <f t="shared" si="12"/>
        <v>0.04</v>
      </c>
      <c r="F65" s="50">
        <f t="shared" si="13"/>
        <v>993.44785156726505</v>
      </c>
      <c r="G65" s="50">
        <v>2</v>
      </c>
      <c r="H65" s="51">
        <f t="shared" si="14"/>
        <v>5.0628786687652045</v>
      </c>
      <c r="I65" s="50">
        <f t="shared" si="15"/>
        <v>15.76</v>
      </c>
      <c r="J65" s="52">
        <f t="shared" si="16"/>
        <v>0.20640138575006547</v>
      </c>
    </row>
    <row r="66" spans="1:10" ht="24.95" customHeight="1" x14ac:dyDescent="0.25">
      <c r="A66" s="48">
        <f t="shared" si="17"/>
        <v>61</v>
      </c>
      <c r="B66" s="48" t="s">
        <v>501</v>
      </c>
      <c r="C66" s="48" t="s">
        <v>481</v>
      </c>
      <c r="D66" s="48" t="str">
        <f>INPUT_DATA!A61</f>
        <v>D16</v>
      </c>
      <c r="E66" s="49">
        <f t="shared" si="12"/>
        <v>0.04</v>
      </c>
      <c r="F66" s="50">
        <f t="shared" si="13"/>
        <v>993.44785156726505</v>
      </c>
      <c r="G66" s="50">
        <v>2</v>
      </c>
      <c r="H66" s="51">
        <f t="shared" si="14"/>
        <v>5.0628786687652045</v>
      </c>
      <c r="I66" s="50">
        <f t="shared" si="15"/>
        <v>15.76</v>
      </c>
      <c r="J66" s="52">
        <f t="shared" si="16"/>
        <v>0.20640138575006547</v>
      </c>
    </row>
    <row r="67" spans="1:10" ht="24.95" customHeight="1" x14ac:dyDescent="0.25">
      <c r="A67" s="48">
        <f t="shared" si="17"/>
        <v>62</v>
      </c>
      <c r="B67" s="48" t="s">
        <v>502</v>
      </c>
      <c r="C67" s="48" t="s">
        <v>481</v>
      </c>
      <c r="D67" s="48" t="str">
        <f>INPUT_DATA!A61</f>
        <v>D16</v>
      </c>
      <c r="E67" s="49">
        <f t="shared" si="12"/>
        <v>0.04</v>
      </c>
      <c r="F67" s="50">
        <f t="shared" si="13"/>
        <v>993.44785156726505</v>
      </c>
      <c r="G67" s="50">
        <v>2</v>
      </c>
      <c r="H67" s="51">
        <f t="shared" si="14"/>
        <v>5.0628786687652045</v>
      </c>
      <c r="I67" s="50">
        <f t="shared" si="15"/>
        <v>15.76</v>
      </c>
      <c r="J67" s="52">
        <f t="shared" si="16"/>
        <v>0.20640138575006547</v>
      </c>
    </row>
    <row r="68" spans="1:10" ht="24.95" customHeight="1" x14ac:dyDescent="0.25">
      <c r="A68" s="48">
        <f t="shared" si="17"/>
        <v>63</v>
      </c>
      <c r="B68" s="48" t="s">
        <v>503</v>
      </c>
      <c r="C68" s="48" t="s">
        <v>481</v>
      </c>
      <c r="D68" s="48" t="str">
        <f>INPUT_DATA!A65</f>
        <v>D20</v>
      </c>
      <c r="E68" s="49">
        <f t="shared" si="12"/>
        <v>5.9580321831979699</v>
      </c>
      <c r="F68" s="50">
        <f t="shared" si="13"/>
        <v>992.86869375887102</v>
      </c>
      <c r="G68" s="50">
        <v>0.1</v>
      </c>
      <c r="H68" s="51">
        <f t="shared" si="14"/>
        <v>276.41434207138519</v>
      </c>
      <c r="I68" s="50">
        <f t="shared" si="15"/>
        <v>303.64</v>
      </c>
      <c r="J68" s="52">
        <f t="shared" si="16"/>
        <v>8.2871114739584154E-2</v>
      </c>
    </row>
    <row r="69" spans="1:10" ht="24.95" customHeight="1" x14ac:dyDescent="0.25">
      <c r="A69" s="48">
        <f t="shared" si="17"/>
        <v>64</v>
      </c>
      <c r="B69" s="48" t="s">
        <v>504</v>
      </c>
      <c r="C69" s="48" t="s">
        <v>481</v>
      </c>
      <c r="D69" s="48" t="str">
        <f>INPUT_DATA!A65</f>
        <v>D20</v>
      </c>
      <c r="E69" s="49">
        <f t="shared" si="12"/>
        <v>5.9580321831979699</v>
      </c>
      <c r="F69" s="50">
        <f t="shared" si="13"/>
        <v>992.86869375887102</v>
      </c>
      <c r="G69" s="50">
        <v>2</v>
      </c>
      <c r="H69" s="51">
        <f t="shared" si="14"/>
        <v>61.808125882749749</v>
      </c>
      <c r="I69" s="50">
        <f t="shared" si="15"/>
        <v>77.92</v>
      </c>
      <c r="J69" s="52">
        <f t="shared" si="16"/>
        <v>1.258413180954904</v>
      </c>
    </row>
    <row r="70" spans="1:10" ht="24.95" customHeight="1" x14ac:dyDescent="0.25">
      <c r="A70" s="48">
        <f t="shared" si="17"/>
        <v>65</v>
      </c>
      <c r="B70" s="48" t="s">
        <v>505</v>
      </c>
      <c r="C70" s="48" t="s">
        <v>481</v>
      </c>
      <c r="D70" s="48" t="str">
        <f>INPUT_DATA!A64</f>
        <v>D19</v>
      </c>
      <c r="E70" s="49">
        <f t="shared" si="12"/>
        <v>6.2462515739158402</v>
      </c>
      <c r="F70" s="50">
        <f t="shared" si="13"/>
        <v>980.51871415227004</v>
      </c>
      <c r="G70" s="50">
        <v>2</v>
      </c>
      <c r="H70" s="51">
        <f t="shared" si="14"/>
        <v>63.682756558832651</v>
      </c>
      <c r="I70" s="50">
        <f t="shared" si="15"/>
        <v>77.92</v>
      </c>
      <c r="J70" s="52">
        <f t="shared" si="16"/>
        <v>1.3359057395950855</v>
      </c>
    </row>
    <row r="71" spans="1:10" ht="24.95" customHeight="1" x14ac:dyDescent="0.25">
      <c r="A71" s="48">
        <f t="shared" si="17"/>
        <v>66</v>
      </c>
      <c r="B71" s="48" t="s">
        <v>506</v>
      </c>
      <c r="C71" s="48" t="s">
        <v>481</v>
      </c>
      <c r="D71" s="48" t="str">
        <f>INPUT_DATA!A68</f>
        <v>D23</v>
      </c>
      <c r="E71" s="49">
        <f t="shared" si="12"/>
        <v>3.05883464610862</v>
      </c>
      <c r="F71" s="50">
        <f t="shared" si="13"/>
        <v>977.32146903273497</v>
      </c>
      <c r="G71" s="50">
        <v>1</v>
      </c>
      <c r="H71" s="51">
        <f t="shared" si="14"/>
        <v>63.126882165080708</v>
      </c>
      <c r="I71" s="50">
        <f t="shared" si="15"/>
        <v>77.92</v>
      </c>
      <c r="J71" s="52">
        <f t="shared" si="16"/>
        <v>0.65634290116633343</v>
      </c>
    </row>
    <row r="72" spans="1:10" ht="24.95" customHeight="1" x14ac:dyDescent="0.25">
      <c r="A72" s="48">
        <f t="shared" si="17"/>
        <v>67</v>
      </c>
      <c r="B72" s="48" t="s">
        <v>507</v>
      </c>
      <c r="C72" s="48" t="s">
        <v>481</v>
      </c>
      <c r="D72" s="48" t="str">
        <f>INPUT_DATA!A68</f>
        <v>D23</v>
      </c>
      <c r="E72" s="49">
        <f t="shared" si="12"/>
        <v>3.05883464610862</v>
      </c>
      <c r="F72" s="50">
        <f t="shared" si="13"/>
        <v>977.32146903273497</v>
      </c>
      <c r="G72" s="50">
        <v>1.5</v>
      </c>
      <c r="H72" s="51">
        <f t="shared" si="14"/>
        <v>51.542883452415843</v>
      </c>
      <c r="I72" s="50">
        <f t="shared" si="15"/>
        <v>62.68</v>
      </c>
      <c r="J72" s="52">
        <f t="shared" si="16"/>
        <v>1.014309993825055</v>
      </c>
    </row>
    <row r="73" spans="1:10" ht="24.95" customHeight="1" x14ac:dyDescent="0.25">
      <c r="A73" s="48">
        <f t="shared" si="17"/>
        <v>68</v>
      </c>
      <c r="B73" s="48" t="s">
        <v>508</v>
      </c>
      <c r="C73" s="48" t="s">
        <v>481</v>
      </c>
      <c r="D73" s="48" t="str">
        <f>INPUT_DATA!A69</f>
        <v>D24</v>
      </c>
      <c r="E73" s="49">
        <f t="shared" si="12"/>
        <v>4.55883464610862</v>
      </c>
      <c r="F73" s="50">
        <f t="shared" si="13"/>
        <v>0</v>
      </c>
      <c r="G73" s="50">
        <v>0.1</v>
      </c>
      <c r="H73" s="51" t="str">
        <f t="shared" si="14"/>
        <v/>
      </c>
      <c r="I73" s="50" t="str">
        <f t="shared" si="15"/>
        <v>Check Size</v>
      </c>
      <c r="J73" s="52" t="str">
        <f t="shared" si="16"/>
        <v/>
      </c>
    </row>
    <row r="74" spans="1:10" ht="24.95" customHeight="1" x14ac:dyDescent="0.25">
      <c r="A74" s="48">
        <f t="shared" si="17"/>
        <v>69</v>
      </c>
      <c r="B74" s="48" t="s">
        <v>509</v>
      </c>
      <c r="C74" s="48" t="s">
        <v>481</v>
      </c>
      <c r="D74" s="48" t="str">
        <f>INPUT_DATA!A69</f>
        <v>D24</v>
      </c>
      <c r="E74" s="49">
        <f t="shared" si="12"/>
        <v>4.55883464610862</v>
      </c>
      <c r="F74" s="50">
        <f t="shared" si="13"/>
        <v>0</v>
      </c>
      <c r="G74" s="50">
        <v>2</v>
      </c>
      <c r="H74" s="51" t="str">
        <f t="shared" si="14"/>
        <v/>
      </c>
      <c r="I74" s="50" t="str">
        <f t="shared" si="15"/>
        <v>Check Size</v>
      </c>
      <c r="J74" s="52" t="str">
        <f t="shared" si="16"/>
        <v/>
      </c>
    </row>
    <row r="75" spans="1:10" ht="24.95" customHeight="1" x14ac:dyDescent="0.25">
      <c r="A75" s="48">
        <f t="shared" si="17"/>
        <v>70</v>
      </c>
      <c r="B75" s="48" t="s">
        <v>510</v>
      </c>
      <c r="C75" s="48" t="s">
        <v>481</v>
      </c>
      <c r="D75" s="48" t="str">
        <f>INPUT_DATA!A67</f>
        <v>D22</v>
      </c>
      <c r="E75" s="49">
        <f t="shared" si="12"/>
        <v>3.1</v>
      </c>
      <c r="F75" s="50">
        <f t="shared" si="13"/>
        <v>972.92379444924302</v>
      </c>
      <c r="G75" s="50">
        <v>2</v>
      </c>
      <c r="H75" s="51">
        <f t="shared" si="14"/>
        <v>45.038248824352081</v>
      </c>
      <c r="I75" s="50">
        <f t="shared" si="15"/>
        <v>52.48</v>
      </c>
      <c r="J75" s="52">
        <f t="shared" si="16"/>
        <v>1.4730087777081831</v>
      </c>
    </row>
    <row r="76" spans="1:10" ht="24.95" customHeight="1" x14ac:dyDescent="0.25">
      <c r="A76" s="48">
        <f t="shared" si="17"/>
        <v>71</v>
      </c>
      <c r="B76" s="48" t="s">
        <v>511</v>
      </c>
      <c r="C76" s="48" t="s">
        <v>481</v>
      </c>
      <c r="D76" s="48" t="str">
        <f>INPUT_DATA!A63</f>
        <v>D18</v>
      </c>
      <c r="E76" s="49">
        <f t="shared" si="12"/>
        <v>0.14000000000000001</v>
      </c>
      <c r="F76" s="50">
        <f t="shared" si="13"/>
        <v>996.01900000000001</v>
      </c>
      <c r="G76" s="50">
        <v>1.5</v>
      </c>
      <c r="H76" s="51">
        <f t="shared" si="14"/>
        <v>10.922942213785891</v>
      </c>
      <c r="I76" s="50">
        <f t="shared" si="15"/>
        <v>26.64</v>
      </c>
      <c r="J76" s="52">
        <f t="shared" si="16"/>
        <v>0.25217503526690932</v>
      </c>
    </row>
    <row r="77" spans="1:10" ht="24.95" customHeight="1" x14ac:dyDescent="0.25">
      <c r="A77" s="48">
        <f t="shared" si="17"/>
        <v>72</v>
      </c>
      <c r="B77" s="48" t="s">
        <v>512</v>
      </c>
      <c r="C77" s="48" t="s">
        <v>481</v>
      </c>
      <c r="D77" s="48" t="str">
        <f>INPUT_DATA!A70</f>
        <v>D25</v>
      </c>
      <c r="E77" s="49">
        <f t="shared" si="12"/>
        <v>7.0788069194233597E-2</v>
      </c>
      <c r="F77" s="50">
        <f t="shared" si="13"/>
        <v>994.120849768894</v>
      </c>
      <c r="G77" s="50">
        <v>0.02</v>
      </c>
      <c r="H77" s="51">
        <f t="shared" si="14"/>
        <v>67.328742568425639</v>
      </c>
      <c r="I77" s="50">
        <f t="shared" si="15"/>
        <v>77.92</v>
      </c>
      <c r="J77" s="52">
        <f t="shared" si="16"/>
        <v>1.4932520348903794E-2</v>
      </c>
    </row>
    <row r="78" spans="1:10" ht="24.95" customHeight="1" x14ac:dyDescent="0.25">
      <c r="A78" s="94" t="s">
        <v>513</v>
      </c>
      <c r="B78" s="94"/>
      <c r="C78" s="94"/>
      <c r="D78" s="94"/>
      <c r="E78" s="94"/>
      <c r="F78" s="94"/>
      <c r="G78" s="94"/>
      <c r="H78" s="94"/>
      <c r="I78" s="94"/>
      <c r="J78" s="94"/>
    </row>
    <row r="79" spans="1:10" ht="24.95" customHeight="1" x14ac:dyDescent="0.25">
      <c r="A79" s="48">
        <f>A77+1</f>
        <v>73</v>
      </c>
      <c r="B79" s="48" t="s">
        <v>514</v>
      </c>
      <c r="C79" s="48" t="s">
        <v>515</v>
      </c>
      <c r="D79" s="48" t="str">
        <f>INPUT_DATA!A72</f>
        <v>S1</v>
      </c>
      <c r="E79" s="49">
        <f t="shared" ref="E79:E92" si="18">IFERROR(INDEX(FlowRates_kgs,MATCH(D79,LineTags,0)),"")</f>
        <v>1.5</v>
      </c>
      <c r="F79" s="50">
        <f t="shared" ref="F79:F92" si="19">IFERROR(INDEX(Densities,MATCH(D79,LineTags,0)),"")</f>
        <v>0.16317000000000001</v>
      </c>
      <c r="G79" s="50">
        <v>35</v>
      </c>
      <c r="H79" s="51">
        <f t="shared" ref="H79:H92" si="20">IFERROR(SQRT((4*E79)/(PI()*F79*G79))*1000,"")</f>
        <v>578.29110188326854</v>
      </c>
      <c r="I79" s="50" t="str">
        <f t="shared" ref="I79:I92" si="21">IFERROR(VLOOKUP(ROUNDUP(H79,-1),PipeReference,2,TRUE),"Check Size")</f>
        <v>Plate</v>
      </c>
      <c r="J79" s="52" t="str">
        <f t="shared" ref="J79:J92" si="22">IFERROR((4*E79)/(PI()*F79*(I79/1000)^2),"")</f>
        <v/>
      </c>
    </row>
    <row r="80" spans="1:10" ht="24.95" customHeight="1" x14ac:dyDescent="0.25">
      <c r="A80" s="48">
        <f t="shared" ref="A80:A92" si="23">A79+1</f>
        <v>74</v>
      </c>
      <c r="B80" s="48" t="s">
        <v>516</v>
      </c>
      <c r="C80" s="48" t="s">
        <v>515</v>
      </c>
      <c r="D80" s="48" t="str">
        <f>INPUT_DATA!A73</f>
        <v>S2</v>
      </c>
      <c r="E80" s="49">
        <f t="shared" si="18"/>
        <v>1.3</v>
      </c>
      <c r="F80" s="50">
        <f t="shared" si="19"/>
        <v>0.13921</v>
      </c>
      <c r="G80" s="50">
        <v>35</v>
      </c>
      <c r="H80" s="51">
        <f t="shared" si="20"/>
        <v>582.85093374475537</v>
      </c>
      <c r="I80" s="50" t="str">
        <f t="shared" si="21"/>
        <v>Plate</v>
      </c>
      <c r="J80" s="52" t="str">
        <f t="shared" si="22"/>
        <v/>
      </c>
    </row>
    <row r="81" spans="1:10" ht="24.95" customHeight="1" x14ac:dyDescent="0.25">
      <c r="A81" s="72">
        <f t="shared" si="23"/>
        <v>75</v>
      </c>
      <c r="B81" s="72" t="s">
        <v>517</v>
      </c>
      <c r="C81" s="72" t="s">
        <v>515</v>
      </c>
      <c r="D81" s="72" t="str">
        <f>INPUT_DATA!A74</f>
        <v>S3</v>
      </c>
      <c r="E81" s="73">
        <f t="shared" si="18"/>
        <v>1.1599999999999999</v>
      </c>
      <c r="F81" s="74">
        <f t="shared" si="19"/>
        <v>0.12016</v>
      </c>
      <c r="G81" s="74">
        <v>24</v>
      </c>
      <c r="H81" s="75">
        <f t="shared" si="20"/>
        <v>715.6463708446239</v>
      </c>
      <c r="I81" s="74" t="str">
        <f t="shared" si="21"/>
        <v>Plate</v>
      </c>
      <c r="J81" s="69" t="str">
        <f t="shared" si="22"/>
        <v/>
      </c>
    </row>
    <row r="82" spans="1:10" ht="24.95" customHeight="1" x14ac:dyDescent="0.25">
      <c r="A82" s="48">
        <f t="shared" si="23"/>
        <v>76</v>
      </c>
      <c r="B82" s="48" t="s">
        <v>518</v>
      </c>
      <c r="C82" s="48" t="s">
        <v>515</v>
      </c>
      <c r="D82" s="48" t="str">
        <f>INPUT_DATA!A75</f>
        <v>S4</v>
      </c>
      <c r="E82" s="49">
        <f t="shared" si="18"/>
        <v>1.08</v>
      </c>
      <c r="F82" s="50">
        <f t="shared" si="19"/>
        <v>0.10435</v>
      </c>
      <c r="G82" s="50">
        <v>35</v>
      </c>
      <c r="H82" s="51">
        <f t="shared" si="20"/>
        <v>613.6018893491962</v>
      </c>
      <c r="I82" s="50" t="str">
        <f t="shared" si="21"/>
        <v>Plate</v>
      </c>
      <c r="J82" s="52" t="str">
        <f t="shared" si="22"/>
        <v/>
      </c>
    </row>
    <row r="83" spans="1:10" ht="24.95" customHeight="1" x14ac:dyDescent="0.25">
      <c r="A83" s="48">
        <f t="shared" si="23"/>
        <v>77</v>
      </c>
      <c r="B83" s="48" t="s">
        <v>519</v>
      </c>
      <c r="C83" s="48" t="s">
        <v>515</v>
      </c>
      <c r="D83" s="48" t="str">
        <f>INPUT_DATA!A76</f>
        <v>S5</v>
      </c>
      <c r="E83" s="49">
        <f t="shared" si="18"/>
        <v>1.06</v>
      </c>
      <c r="F83" s="50">
        <f t="shared" si="19"/>
        <v>9.0859999999999996E-2</v>
      </c>
      <c r="G83" s="50">
        <v>35</v>
      </c>
      <c r="H83" s="51">
        <f t="shared" si="20"/>
        <v>651.45977287289622</v>
      </c>
      <c r="I83" s="50" t="str">
        <f t="shared" si="21"/>
        <v>Plate</v>
      </c>
      <c r="J83" s="52" t="str">
        <f t="shared" si="22"/>
        <v/>
      </c>
    </row>
    <row r="84" spans="1:10" ht="24.95" customHeight="1" x14ac:dyDescent="0.25">
      <c r="A84" s="72">
        <f t="shared" si="23"/>
        <v>78</v>
      </c>
      <c r="B84" s="72" t="s">
        <v>520</v>
      </c>
      <c r="C84" s="72" t="s">
        <v>515</v>
      </c>
      <c r="D84" s="72" t="str">
        <f>INPUT_DATA!A77</f>
        <v>S6</v>
      </c>
      <c r="E84" s="73">
        <f t="shared" si="18"/>
        <v>1.08</v>
      </c>
      <c r="F84" s="67">
        <f t="shared" si="19"/>
        <v>7.8920000000000004E-2</v>
      </c>
      <c r="G84" s="67">
        <v>26</v>
      </c>
      <c r="H84" s="68">
        <f t="shared" si="20"/>
        <v>818.62824466783468</v>
      </c>
      <c r="I84" s="67" t="str">
        <f t="shared" si="21"/>
        <v>Plate</v>
      </c>
      <c r="J84" s="69" t="str">
        <f t="shared" si="22"/>
        <v/>
      </c>
    </row>
    <row r="85" spans="1:10" ht="24.95" customHeight="1" x14ac:dyDescent="0.25">
      <c r="A85" s="48">
        <f t="shared" si="23"/>
        <v>79</v>
      </c>
      <c r="B85" s="48" t="s">
        <v>521</v>
      </c>
      <c r="C85" s="48" t="s">
        <v>515</v>
      </c>
      <c r="D85" s="48" t="str">
        <f>INPUT_DATA!A78</f>
        <v>S7</v>
      </c>
      <c r="E85" s="49">
        <f t="shared" si="18"/>
        <v>1.1499999999999999</v>
      </c>
      <c r="F85" s="50">
        <f t="shared" si="19"/>
        <v>6.7909999999999998E-2</v>
      </c>
      <c r="G85" s="50">
        <v>35</v>
      </c>
      <c r="H85" s="51">
        <f t="shared" si="20"/>
        <v>784.87969164687479</v>
      </c>
      <c r="I85" s="50" t="str">
        <f t="shared" si="21"/>
        <v>Plate</v>
      </c>
      <c r="J85" s="52" t="str">
        <f t="shared" si="22"/>
        <v/>
      </c>
    </row>
    <row r="86" spans="1:10" ht="24.95" customHeight="1" x14ac:dyDescent="0.25">
      <c r="A86" s="48">
        <f t="shared" si="23"/>
        <v>80</v>
      </c>
      <c r="B86" s="48" t="s">
        <v>522</v>
      </c>
      <c r="C86" s="48" t="s">
        <v>515</v>
      </c>
      <c r="D86" s="48" t="str">
        <f>INPUT_DATA!A79</f>
        <v>S8</v>
      </c>
      <c r="E86" s="49">
        <f t="shared" si="18"/>
        <v>1.3</v>
      </c>
      <c r="F86" s="50">
        <f t="shared" si="19"/>
        <v>5.7450000000000001E-2</v>
      </c>
      <c r="G86" s="50">
        <v>35</v>
      </c>
      <c r="H86" s="51">
        <f t="shared" si="20"/>
        <v>907.29328534662227</v>
      </c>
      <c r="I86" s="50" t="str">
        <f t="shared" si="21"/>
        <v>Plate</v>
      </c>
      <c r="J86" s="52" t="str">
        <f t="shared" si="22"/>
        <v/>
      </c>
    </row>
    <row r="87" spans="1:10" ht="24.95" customHeight="1" x14ac:dyDescent="0.25">
      <c r="A87" s="48">
        <f t="shared" si="23"/>
        <v>81</v>
      </c>
      <c r="B87" s="48" t="s">
        <v>523</v>
      </c>
      <c r="C87" s="48" t="s">
        <v>515</v>
      </c>
      <c r="D87" s="48" t="str">
        <f>INPUT_DATA!A80</f>
        <v>S9</v>
      </c>
      <c r="E87" s="49">
        <f t="shared" si="18"/>
        <v>1.84</v>
      </c>
      <c r="F87" s="50">
        <f t="shared" si="19"/>
        <v>4.7219999999999998E-2</v>
      </c>
      <c r="G87" s="50">
        <v>41</v>
      </c>
      <c r="H87" s="51">
        <f t="shared" si="20"/>
        <v>1100.0414531278125</v>
      </c>
      <c r="I87" s="50" t="str">
        <f t="shared" si="21"/>
        <v>Plate</v>
      </c>
      <c r="J87" s="52" t="str">
        <f t="shared" si="22"/>
        <v/>
      </c>
    </row>
    <row r="88" spans="1:10" ht="24.95" customHeight="1" x14ac:dyDescent="0.25">
      <c r="A88" s="48">
        <f t="shared" si="23"/>
        <v>82</v>
      </c>
      <c r="B88" s="48" t="s">
        <v>524</v>
      </c>
      <c r="C88" s="48" t="s">
        <v>515</v>
      </c>
      <c r="D88" s="48" t="str">
        <f>INPUT_DATA!A81</f>
        <v>S10</v>
      </c>
      <c r="E88" s="49">
        <f t="shared" si="18"/>
        <v>0</v>
      </c>
      <c r="F88" s="50">
        <f t="shared" si="19"/>
        <v>0</v>
      </c>
      <c r="G88" s="50">
        <v>35</v>
      </c>
      <c r="H88" s="51" t="str">
        <f t="shared" si="20"/>
        <v/>
      </c>
      <c r="I88" s="50" t="str">
        <f t="shared" si="21"/>
        <v>Check Size</v>
      </c>
      <c r="J88" s="97" t="str">
        <f t="shared" si="22"/>
        <v/>
      </c>
    </row>
    <row r="89" spans="1:10" ht="24.95" customHeight="1" x14ac:dyDescent="0.25">
      <c r="A89" s="48">
        <f t="shared" si="23"/>
        <v>83</v>
      </c>
      <c r="B89" s="48" t="s">
        <v>525</v>
      </c>
      <c r="C89" s="48" t="s">
        <v>515</v>
      </c>
      <c r="D89" s="48" t="str">
        <f>INPUT_DATA!A82</f>
        <v>S11</v>
      </c>
      <c r="E89" s="49">
        <f t="shared" si="18"/>
        <v>0</v>
      </c>
      <c r="F89" s="50">
        <f t="shared" si="19"/>
        <v>0</v>
      </c>
      <c r="G89" s="50">
        <v>35</v>
      </c>
      <c r="H89" s="51" t="str">
        <f t="shared" si="20"/>
        <v/>
      </c>
      <c r="I89" s="50" t="str">
        <f t="shared" si="21"/>
        <v>Check Size</v>
      </c>
      <c r="J89" s="97" t="str">
        <f t="shared" si="22"/>
        <v/>
      </c>
    </row>
    <row r="90" spans="1:10" ht="24.95" customHeight="1" x14ac:dyDescent="0.25">
      <c r="A90" s="48">
        <f t="shared" si="23"/>
        <v>84</v>
      </c>
      <c r="B90" s="48" t="s">
        <v>526</v>
      </c>
      <c r="C90" s="48" t="s">
        <v>515</v>
      </c>
      <c r="D90" s="48" t="str">
        <f>INPUT_DATA!A83</f>
        <v>S12</v>
      </c>
      <c r="E90" s="49">
        <f t="shared" si="18"/>
        <v>0</v>
      </c>
      <c r="F90" s="50">
        <f t="shared" si="19"/>
        <v>0</v>
      </c>
      <c r="G90" s="50">
        <v>35</v>
      </c>
      <c r="H90" s="51" t="str">
        <f t="shared" si="20"/>
        <v/>
      </c>
      <c r="I90" s="50" t="str">
        <f t="shared" si="21"/>
        <v>Check Size</v>
      </c>
      <c r="J90" s="97" t="str">
        <f t="shared" si="22"/>
        <v/>
      </c>
    </row>
    <row r="91" spans="1:10" ht="24.95" customHeight="1" x14ac:dyDescent="0.25">
      <c r="A91" s="48">
        <f t="shared" si="23"/>
        <v>85</v>
      </c>
      <c r="B91" s="48" t="s">
        <v>527</v>
      </c>
      <c r="C91" s="48" t="s">
        <v>515</v>
      </c>
      <c r="D91" s="48" t="str">
        <f>INPUT_DATA!A84</f>
        <v>S13</v>
      </c>
      <c r="E91" s="49">
        <f t="shared" si="18"/>
        <v>0.28999999999999998</v>
      </c>
      <c r="F91" s="50">
        <f t="shared" si="19"/>
        <v>4.7309447115236901E-2</v>
      </c>
      <c r="G91" s="50">
        <v>36</v>
      </c>
      <c r="H91" s="51">
        <f t="shared" si="20"/>
        <v>465.61704634122884</v>
      </c>
      <c r="I91" s="50">
        <f t="shared" si="21"/>
        <v>477.82</v>
      </c>
      <c r="J91" s="52">
        <f t="shared" si="22"/>
        <v>34.184686068004055</v>
      </c>
    </row>
    <row r="92" spans="1:10" ht="24.95" customHeight="1" x14ac:dyDescent="0.25">
      <c r="A92" s="48">
        <f t="shared" si="23"/>
        <v>86</v>
      </c>
      <c r="B92" s="48" t="s">
        <v>528</v>
      </c>
      <c r="C92" s="48" t="s">
        <v>515</v>
      </c>
      <c r="D92" s="48" t="str">
        <f>INPUT_DATA!A85</f>
        <v>S14</v>
      </c>
      <c r="E92" s="49">
        <f t="shared" si="18"/>
        <v>4.1165353891384301E-2</v>
      </c>
      <c r="F92" s="50">
        <f t="shared" si="19"/>
        <v>0.20256018225191899</v>
      </c>
      <c r="G92" s="50">
        <v>25</v>
      </c>
      <c r="H92" s="51">
        <f t="shared" si="20"/>
        <v>101.73583222957525</v>
      </c>
      <c r="I92" s="50">
        <f t="shared" si="21"/>
        <v>154.08000000000001</v>
      </c>
      <c r="J92" s="52">
        <f t="shared" si="22"/>
        <v>10.899218354311826</v>
      </c>
    </row>
    <row r="93" spans="1:10" ht="24.95" customHeight="1" x14ac:dyDescent="0.25">
      <c r="A93" s="94" t="s">
        <v>529</v>
      </c>
      <c r="B93" s="94"/>
      <c r="C93" s="94"/>
      <c r="D93" s="94"/>
      <c r="E93" s="94"/>
      <c r="F93" s="94"/>
      <c r="G93" s="94"/>
      <c r="H93" s="94"/>
      <c r="I93" s="94"/>
      <c r="J93" s="94"/>
    </row>
    <row r="94" spans="1:10" ht="24.95" customHeight="1" x14ac:dyDescent="0.25">
      <c r="A94" s="48">
        <f>A92+1</f>
        <v>87</v>
      </c>
      <c r="B94" s="48" t="s">
        <v>530</v>
      </c>
      <c r="C94" s="58" t="s">
        <v>531</v>
      </c>
      <c r="D94" s="58" t="str">
        <f>INPUT_DATA!A88</f>
        <v>NCG1</v>
      </c>
      <c r="E94" s="71">
        <f t="shared" ref="E94:E104" si="24">IFERROR(INDEX(FlowRates_kgs,MATCH(D94,LineTags,0)),"")</f>
        <v>1.2613888888888888E-4</v>
      </c>
      <c r="F94" s="57">
        <f t="shared" ref="F94:F104" si="25">IFERROR(INDEX(Densities,MATCH(D94,LineTags,0)),"")</f>
        <v>0.32860310921873448</v>
      </c>
      <c r="G94" s="50">
        <v>0.5</v>
      </c>
      <c r="H94" s="51">
        <f t="shared" ref="H94:H104" si="26">IFERROR(SQRT((4*E94)/(PI()*F94*G94))*1000,"")</f>
        <v>31.265020913800893</v>
      </c>
      <c r="I94" s="50">
        <f t="shared" ref="I94:I104" si="27">IFERROR(VLOOKUP(ROUNDUP(H94,-1),PipeReference,2,TRUE),"Check Size")</f>
        <v>40.94</v>
      </c>
      <c r="J94" s="52">
        <f t="shared" ref="J94:J104" si="28">IFERROR((4*E94)/(PI()*F94*(I94/1000)^2),"")</f>
        <v>0.29160285702348232</v>
      </c>
    </row>
    <row r="95" spans="1:10" ht="24.95" customHeight="1" x14ac:dyDescent="0.25">
      <c r="A95" s="48">
        <f t="shared" ref="A95:A104" si="29">A94+1</f>
        <v>88</v>
      </c>
      <c r="B95" s="48" t="s">
        <v>532</v>
      </c>
      <c r="C95" s="58" t="s">
        <v>531</v>
      </c>
      <c r="D95" s="58" t="str">
        <f>INPUT_DATA!A89</f>
        <v>NCG2</v>
      </c>
      <c r="E95" s="71">
        <f t="shared" si="24"/>
        <v>2.5680555555555553E-4</v>
      </c>
      <c r="F95" s="57">
        <f t="shared" si="25"/>
        <v>0.25987610860884103</v>
      </c>
      <c r="G95" s="50">
        <v>1</v>
      </c>
      <c r="H95" s="51">
        <f t="shared" si="26"/>
        <v>35.471053651050752</v>
      </c>
      <c r="I95" s="50">
        <f t="shared" si="27"/>
        <v>40.94</v>
      </c>
      <c r="J95" s="52">
        <f t="shared" si="28"/>
        <v>0.75067594904915291</v>
      </c>
    </row>
    <row r="96" spans="1:10" ht="24.95" customHeight="1" x14ac:dyDescent="0.25">
      <c r="A96" s="48">
        <f t="shared" si="29"/>
        <v>89</v>
      </c>
      <c r="B96" s="48" t="s">
        <v>533</v>
      </c>
      <c r="C96" s="58" t="s">
        <v>531</v>
      </c>
      <c r="D96" s="58" t="str">
        <f>INPUT_DATA!A90</f>
        <v>NCG3</v>
      </c>
      <c r="E96" s="71">
        <f t="shared" si="24"/>
        <v>3.9786111111111109E-4</v>
      </c>
      <c r="F96" s="57">
        <f t="shared" si="25"/>
        <v>0.21216307938384499</v>
      </c>
      <c r="G96" s="50">
        <v>1.5</v>
      </c>
      <c r="H96" s="51">
        <f t="shared" si="26"/>
        <v>39.897002711731005</v>
      </c>
      <c r="I96" s="50">
        <f t="shared" si="27"/>
        <v>40.94</v>
      </c>
      <c r="J96" s="52">
        <f t="shared" si="28"/>
        <v>1.424544836587988</v>
      </c>
    </row>
    <row r="97" spans="1:10" ht="24.95" customHeight="1" x14ac:dyDescent="0.25">
      <c r="A97" s="48">
        <f t="shared" si="29"/>
        <v>90</v>
      </c>
      <c r="B97" s="48" t="s">
        <v>534</v>
      </c>
      <c r="C97" s="58" t="s">
        <v>531</v>
      </c>
      <c r="D97" s="58" t="str">
        <f>INPUT_DATA!A91</f>
        <v>NCG4</v>
      </c>
      <c r="E97" s="71">
        <f t="shared" si="24"/>
        <v>5.5730555555555557E-4</v>
      </c>
      <c r="F97" s="57">
        <f t="shared" si="25"/>
        <v>0.18040608029075109</v>
      </c>
      <c r="G97" s="50">
        <v>2</v>
      </c>
      <c r="H97" s="51">
        <f t="shared" si="26"/>
        <v>44.346685135481167</v>
      </c>
      <c r="I97" s="50">
        <f t="shared" si="27"/>
        <v>52.48</v>
      </c>
      <c r="J97" s="52">
        <f t="shared" si="28"/>
        <v>1.4281198895350855</v>
      </c>
    </row>
    <row r="98" spans="1:10" ht="24.95" customHeight="1" x14ac:dyDescent="0.25">
      <c r="A98" s="48">
        <f t="shared" si="29"/>
        <v>91</v>
      </c>
      <c r="B98" s="48" t="s">
        <v>535</v>
      </c>
      <c r="C98" s="58" t="s">
        <v>531</v>
      </c>
      <c r="D98" s="58" t="str">
        <f>INPUT_DATA!A92</f>
        <v>NCG5</v>
      </c>
      <c r="E98" s="71">
        <f t="shared" si="24"/>
        <v>7.3813888888888898E-4</v>
      </c>
      <c r="F98" s="57">
        <f t="shared" si="25"/>
        <v>0.151480776174888</v>
      </c>
      <c r="G98" s="50">
        <v>3</v>
      </c>
      <c r="H98" s="51">
        <f t="shared" si="26"/>
        <v>45.476257242713238</v>
      </c>
      <c r="I98" s="50">
        <f t="shared" si="27"/>
        <v>52.48</v>
      </c>
      <c r="J98" s="52">
        <f t="shared" si="28"/>
        <v>2.2526982979637875</v>
      </c>
    </row>
    <row r="99" spans="1:10" ht="24.95" customHeight="1" x14ac:dyDescent="0.25">
      <c r="A99" s="48">
        <f t="shared" si="29"/>
        <v>92</v>
      </c>
      <c r="B99" s="48" t="s">
        <v>536</v>
      </c>
      <c r="C99" s="58" t="s">
        <v>531</v>
      </c>
      <c r="D99" s="58" t="str">
        <f>INPUT_DATA!A93</f>
        <v>NCG6</v>
      </c>
      <c r="E99" s="71">
        <f t="shared" si="24"/>
        <v>9.5905555555555555E-4</v>
      </c>
      <c r="F99" s="57">
        <f t="shared" si="25"/>
        <v>0.1263225203913288</v>
      </c>
      <c r="G99" s="50">
        <v>4</v>
      </c>
      <c r="H99" s="51">
        <f t="shared" si="26"/>
        <v>49.159397928291249</v>
      </c>
      <c r="I99" s="50">
        <f t="shared" si="27"/>
        <v>52.48</v>
      </c>
      <c r="J99" s="52">
        <f t="shared" si="28"/>
        <v>3.5098248878087208</v>
      </c>
    </row>
    <row r="100" spans="1:10" ht="24.95" customHeight="1" x14ac:dyDescent="0.25">
      <c r="A100" s="48">
        <f t="shared" si="29"/>
        <v>93</v>
      </c>
      <c r="B100" s="48" t="s">
        <v>537</v>
      </c>
      <c r="C100" s="58" t="s">
        <v>531</v>
      </c>
      <c r="D100" s="58" t="str">
        <f>INPUT_DATA!A94</f>
        <v>NCG7</v>
      </c>
      <c r="E100" s="71">
        <f t="shared" si="24"/>
        <v>1.1809722222222221E-3</v>
      </c>
      <c r="F100" s="57">
        <f t="shared" si="25"/>
        <v>0.1074064001621368</v>
      </c>
      <c r="G100" s="50">
        <v>6</v>
      </c>
      <c r="H100" s="51">
        <f t="shared" si="26"/>
        <v>48.304122265643585</v>
      </c>
      <c r="I100" s="50">
        <f t="shared" si="27"/>
        <v>52.48</v>
      </c>
      <c r="J100" s="52">
        <f t="shared" si="28"/>
        <v>5.083139020703249</v>
      </c>
    </row>
    <row r="101" spans="1:10" ht="24.95" customHeight="1" x14ac:dyDescent="0.25">
      <c r="A101" s="48">
        <f t="shared" si="29"/>
        <v>94</v>
      </c>
      <c r="B101" s="48" t="s">
        <v>538</v>
      </c>
      <c r="C101" s="58" t="s">
        <v>531</v>
      </c>
      <c r="D101" s="58" t="str">
        <f>INPUT_DATA!A95</f>
        <v>NCG8</v>
      </c>
      <c r="E101" s="71">
        <f t="shared" si="24"/>
        <v>5.7625000000000003E-3</v>
      </c>
      <c r="F101" s="57">
        <f t="shared" si="25"/>
        <v>7.2101938174681052E-2</v>
      </c>
      <c r="G101" s="50">
        <v>12</v>
      </c>
      <c r="H101" s="51">
        <f t="shared" si="26"/>
        <v>92.086599483735853</v>
      </c>
      <c r="I101" s="50">
        <f t="shared" si="27"/>
        <v>102.25999999999999</v>
      </c>
      <c r="J101" s="52">
        <f t="shared" si="28"/>
        <v>9.7311135685106454</v>
      </c>
    </row>
    <row r="102" spans="1:10" ht="24.95" customHeight="1" x14ac:dyDescent="0.25">
      <c r="A102" s="48">
        <f t="shared" si="29"/>
        <v>95</v>
      </c>
      <c r="B102" s="48" t="s">
        <v>539</v>
      </c>
      <c r="C102" s="58" t="s">
        <v>531</v>
      </c>
      <c r="D102" s="58" t="str">
        <f>INPUT_DATA!A96</f>
        <v>NCG9</v>
      </c>
      <c r="E102" s="71">
        <f t="shared" si="24"/>
        <v>3.2908333333333331E-2</v>
      </c>
      <c r="F102" s="57">
        <f t="shared" si="25"/>
        <v>5.6641585640965032E-2</v>
      </c>
      <c r="G102" s="50">
        <v>20</v>
      </c>
      <c r="H102" s="51">
        <f t="shared" si="26"/>
        <v>192.32037804615598</v>
      </c>
      <c r="I102" s="50">
        <f t="shared" si="27"/>
        <v>202.74</v>
      </c>
      <c r="J102" s="52">
        <f t="shared" si="28"/>
        <v>17.997066416694988</v>
      </c>
    </row>
    <row r="103" spans="1:10" ht="24.95" customHeight="1" x14ac:dyDescent="0.25">
      <c r="A103" s="48">
        <f t="shared" si="29"/>
        <v>96</v>
      </c>
      <c r="B103" s="48" t="s">
        <v>540</v>
      </c>
      <c r="C103" s="58" t="s">
        <v>531</v>
      </c>
      <c r="D103" s="58" t="str">
        <f>INPUT_DATA!A97</f>
        <v>NCG10</v>
      </c>
      <c r="E103" s="70">
        <f t="shared" si="24"/>
        <v>0</v>
      </c>
      <c r="F103" s="57">
        <f t="shared" si="25"/>
        <v>0</v>
      </c>
      <c r="G103" s="50">
        <v>45</v>
      </c>
      <c r="H103" s="51" t="str">
        <f t="shared" si="26"/>
        <v/>
      </c>
      <c r="I103" s="50" t="str">
        <f t="shared" si="27"/>
        <v>Check Size</v>
      </c>
      <c r="J103" s="70" t="str">
        <f t="shared" si="28"/>
        <v/>
      </c>
    </row>
    <row r="104" spans="1:10" ht="24.95" customHeight="1" x14ac:dyDescent="0.25">
      <c r="A104" s="48">
        <f t="shared" si="29"/>
        <v>97</v>
      </c>
      <c r="B104" s="48" t="s">
        <v>541</v>
      </c>
      <c r="C104" s="58" t="s">
        <v>531</v>
      </c>
      <c r="D104" s="58" t="str">
        <f>INPUT_DATA!A98</f>
        <v>NCG11</v>
      </c>
      <c r="E104" s="70">
        <f t="shared" si="24"/>
        <v>0</v>
      </c>
      <c r="F104" s="57">
        <f t="shared" si="25"/>
        <v>0</v>
      </c>
      <c r="G104" s="50">
        <v>45</v>
      </c>
      <c r="H104" s="51" t="str">
        <f t="shared" si="26"/>
        <v/>
      </c>
      <c r="I104" s="50" t="str">
        <f t="shared" si="27"/>
        <v>Check Size</v>
      </c>
      <c r="J104" s="70" t="str">
        <f t="shared" si="28"/>
        <v/>
      </c>
    </row>
    <row r="105" spans="1:10" ht="24.95" customHeight="1" x14ac:dyDescent="0.25">
      <c r="A105" s="94" t="s">
        <v>542</v>
      </c>
      <c r="B105" s="94"/>
      <c r="C105" s="94"/>
      <c r="D105" s="94"/>
      <c r="E105" s="94"/>
      <c r="F105" s="94"/>
      <c r="G105" s="94"/>
      <c r="H105" s="94"/>
      <c r="I105" s="94"/>
      <c r="J105" s="94"/>
    </row>
    <row r="106" spans="1:10" ht="24.95" customHeight="1" x14ac:dyDescent="0.25">
      <c r="A106" s="48">
        <f>A104+1</f>
        <v>98</v>
      </c>
      <c r="B106" s="48" t="s">
        <v>543</v>
      </c>
      <c r="C106" s="48"/>
      <c r="D106" s="48"/>
      <c r="E106" s="56" t="s">
        <v>174</v>
      </c>
      <c r="F106" s="50"/>
      <c r="G106" s="50"/>
      <c r="H106" s="50"/>
      <c r="I106" s="50"/>
      <c r="J106" s="50"/>
    </row>
    <row r="107" spans="1:10" ht="24.95" customHeight="1" x14ac:dyDescent="0.25">
      <c r="A107" s="48">
        <f>A106+1</f>
        <v>99</v>
      </c>
      <c r="B107" s="48" t="s">
        <v>544</v>
      </c>
      <c r="C107" s="48"/>
      <c r="D107" s="48"/>
      <c r="E107" s="56" t="s">
        <v>174</v>
      </c>
      <c r="F107" s="50"/>
      <c r="G107" s="50"/>
      <c r="H107" s="50"/>
      <c r="I107" s="50"/>
      <c r="J107" s="50"/>
    </row>
    <row r="108" spans="1:10" ht="24.95" customHeight="1" x14ac:dyDescent="0.25">
      <c r="A108" s="48">
        <f>A107+1</f>
        <v>100</v>
      </c>
      <c r="B108" s="48" t="s">
        <v>545</v>
      </c>
      <c r="C108" s="48"/>
      <c r="D108" s="48"/>
      <c r="E108" s="56" t="s">
        <v>174</v>
      </c>
      <c r="F108" s="50"/>
      <c r="G108" s="50"/>
      <c r="H108" s="50"/>
      <c r="I108" s="50"/>
      <c r="J108" s="50"/>
    </row>
    <row r="109" spans="1:10" ht="24.95" customHeight="1" x14ac:dyDescent="0.25">
      <c r="A109" s="94" t="s">
        <v>546</v>
      </c>
      <c r="B109" s="94"/>
      <c r="C109" s="94"/>
      <c r="D109" s="94"/>
      <c r="E109" s="94"/>
      <c r="F109" s="94"/>
      <c r="G109" s="94"/>
      <c r="H109" s="94"/>
      <c r="I109" s="94"/>
      <c r="J109" s="94"/>
    </row>
    <row r="110" spans="1:10" ht="24.95" customHeight="1" x14ac:dyDescent="0.25">
      <c r="A110" s="48">
        <f>A108+1</f>
        <v>101</v>
      </c>
      <c r="B110" s="48" t="s">
        <v>547</v>
      </c>
      <c r="C110" s="48"/>
      <c r="D110" s="48"/>
      <c r="E110" s="56" t="s">
        <v>174</v>
      </c>
      <c r="F110" s="50"/>
      <c r="G110" s="50"/>
      <c r="H110" s="50"/>
      <c r="I110" s="50"/>
      <c r="J110" s="50"/>
    </row>
    <row r="111" spans="1:10" ht="24.95" customHeight="1" x14ac:dyDescent="0.25">
      <c r="A111" s="48">
        <f>A110+1</f>
        <v>102</v>
      </c>
      <c r="B111" s="48" t="s">
        <v>548</v>
      </c>
      <c r="C111" s="48"/>
      <c r="D111" s="48"/>
      <c r="E111" s="56" t="s">
        <v>174</v>
      </c>
      <c r="F111" s="50"/>
      <c r="G111" s="50"/>
      <c r="H111" s="50"/>
      <c r="I111" s="50"/>
      <c r="J111" s="50"/>
    </row>
    <row r="112" spans="1:10" ht="24.95" customHeight="1" x14ac:dyDescent="0.25">
      <c r="A112" s="48">
        <f>A111+1</f>
        <v>103</v>
      </c>
      <c r="B112" s="48" t="s">
        <v>549</v>
      </c>
      <c r="C112" s="48"/>
      <c r="D112" s="48"/>
      <c r="E112" s="56" t="s">
        <v>174</v>
      </c>
      <c r="F112" s="50"/>
      <c r="G112" s="50"/>
      <c r="H112" s="50"/>
      <c r="I112" s="50"/>
      <c r="J112" s="50"/>
    </row>
    <row r="113" spans="1:10" ht="24.95" customHeight="1" x14ac:dyDescent="0.25">
      <c r="A113" s="48">
        <f>A112+1</f>
        <v>104</v>
      </c>
      <c r="B113" s="48" t="s">
        <v>550</v>
      </c>
      <c r="C113" s="48"/>
      <c r="D113" s="48"/>
      <c r="E113" s="56" t="s">
        <v>174</v>
      </c>
      <c r="F113" s="50"/>
      <c r="G113" s="50"/>
      <c r="H113" s="50"/>
      <c r="I113" s="50"/>
      <c r="J113" s="50"/>
    </row>
    <row r="114" spans="1:10" ht="24.95" customHeight="1" x14ac:dyDescent="0.25">
      <c r="A114" s="94" t="s">
        <v>551</v>
      </c>
      <c r="B114" s="94"/>
      <c r="C114" s="94"/>
      <c r="D114" s="94"/>
      <c r="E114" s="94"/>
      <c r="F114" s="94"/>
      <c r="G114" s="94"/>
      <c r="H114" s="94"/>
      <c r="I114" s="94"/>
      <c r="J114" s="94"/>
    </row>
    <row r="115" spans="1:10" ht="24.95" customHeight="1" x14ac:dyDescent="0.25">
      <c r="A115" s="48">
        <f>A113+1</f>
        <v>105</v>
      </c>
      <c r="B115" s="48" t="s">
        <v>552</v>
      </c>
      <c r="C115" s="48"/>
      <c r="D115" s="48"/>
      <c r="E115" s="56" t="s">
        <v>174</v>
      </c>
      <c r="F115" s="50"/>
      <c r="G115" s="50"/>
      <c r="H115" s="50"/>
      <c r="I115" s="50"/>
      <c r="J115" s="50"/>
    </row>
    <row r="116" spans="1:10" ht="24.95" customHeight="1" x14ac:dyDescent="0.25">
      <c r="A116" s="48">
        <f>A115+1</f>
        <v>106</v>
      </c>
      <c r="B116" s="48" t="s">
        <v>553</v>
      </c>
      <c r="C116" s="48"/>
      <c r="D116" s="48"/>
      <c r="E116" s="56" t="s">
        <v>174</v>
      </c>
      <c r="F116" s="50"/>
      <c r="G116" s="50"/>
      <c r="H116" s="50"/>
      <c r="I116" s="50"/>
      <c r="J116" s="50"/>
    </row>
    <row r="117" spans="1:10" ht="24.95" customHeight="1" x14ac:dyDescent="0.25">
      <c r="A117" s="48">
        <f>A116+1</f>
        <v>107</v>
      </c>
      <c r="B117" s="48" t="s">
        <v>554</v>
      </c>
      <c r="C117" s="48"/>
      <c r="D117" s="48"/>
      <c r="E117" s="56" t="s">
        <v>174</v>
      </c>
      <c r="F117" s="50"/>
      <c r="G117" s="50"/>
      <c r="H117" s="50"/>
      <c r="I117" s="50"/>
      <c r="J117" s="50"/>
    </row>
    <row r="118" spans="1:10" ht="24.95" customHeight="1" x14ac:dyDescent="0.25">
      <c r="A118" s="48">
        <f>A117+1</f>
        <v>108</v>
      </c>
      <c r="B118" s="48" t="s">
        <v>555</v>
      </c>
      <c r="C118" s="48"/>
      <c r="D118" s="48"/>
      <c r="E118" s="56" t="s">
        <v>174</v>
      </c>
      <c r="F118" s="50"/>
      <c r="G118" s="50"/>
      <c r="H118" s="50"/>
      <c r="I118" s="50"/>
      <c r="J118" s="50"/>
    </row>
    <row r="119" spans="1:10" ht="24.95" customHeight="1" x14ac:dyDescent="0.25">
      <c r="A119" s="94" t="s">
        <v>556</v>
      </c>
      <c r="B119" s="94"/>
      <c r="C119" s="94"/>
      <c r="D119" s="94"/>
      <c r="E119" s="94"/>
      <c r="F119" s="94"/>
      <c r="G119" s="94"/>
      <c r="H119" s="94"/>
      <c r="I119" s="94"/>
      <c r="J119" s="94"/>
    </row>
    <row r="120" spans="1:10" ht="24.95" customHeight="1" x14ac:dyDescent="0.25">
      <c r="A120" s="48">
        <f>A118+1</f>
        <v>109</v>
      </c>
      <c r="B120" s="48" t="s">
        <v>557</v>
      </c>
      <c r="C120" s="48" t="s">
        <v>558</v>
      </c>
      <c r="D120" s="48" t="str">
        <f>INPUT_DATA!A101</f>
        <v>F1</v>
      </c>
      <c r="E120" s="49">
        <f t="shared" ref="E120:E151" si="30">IFERROR(INDEX(FlowRates_kgs,MATCH(D120,LineTags,0)),"")</f>
        <v>5.5698346602097306</v>
      </c>
      <c r="F120" s="49">
        <f t="shared" ref="F120:F151" si="31">IFERROR(INDEX(Densities,MATCH(D120,LineTags,0)),"")</f>
        <v>1029.6110710277201</v>
      </c>
      <c r="G120" s="50">
        <v>1.5</v>
      </c>
      <c r="H120" s="51">
        <f t="shared" ref="H120:H151" si="32">IFERROR(SQRT((4*E120)/(PI()*F120*G120))*1000,"")</f>
        <v>67.763211391327928</v>
      </c>
      <c r="I120" s="50">
        <f t="shared" ref="I120:I151" si="33">IFERROR(VLOOKUP(ROUNDUP(H120,-1),PipeReference,2,TRUE),"Check Size")</f>
        <v>77.92</v>
      </c>
      <c r="J120" s="52">
        <f t="shared" ref="J120:J151" si="34">IFERROR((4*E120)/(PI()*F120*(I120/1000)^2),"")</f>
        <v>1.134439475895006</v>
      </c>
    </row>
    <row r="121" spans="1:10" ht="24.95" customHeight="1" x14ac:dyDescent="0.25">
      <c r="A121" s="48">
        <f t="shared" ref="A121:A152" si="35">A120+1</f>
        <v>110</v>
      </c>
      <c r="B121" s="48" t="s">
        <v>559</v>
      </c>
      <c r="C121" s="48" t="s">
        <v>558</v>
      </c>
      <c r="D121" s="48" t="str">
        <f>INPUT_DATA!A102</f>
        <v>F1.1</v>
      </c>
      <c r="E121" s="49">
        <f t="shared" si="30"/>
        <v>0.55698346602097304</v>
      </c>
      <c r="F121" s="49">
        <f t="shared" si="31"/>
        <v>1029.6110710277201</v>
      </c>
      <c r="G121" s="50">
        <v>2</v>
      </c>
      <c r="H121" s="51">
        <f t="shared" si="32"/>
        <v>18.557719724010671</v>
      </c>
      <c r="I121" s="50">
        <f t="shared" si="33"/>
        <v>26.64</v>
      </c>
      <c r="J121" s="52">
        <f t="shared" si="34"/>
        <v>0.97053405137946125</v>
      </c>
    </row>
    <row r="122" spans="1:10" ht="24.95" customHeight="1" x14ac:dyDescent="0.25">
      <c r="A122" s="48">
        <f t="shared" si="35"/>
        <v>111</v>
      </c>
      <c r="B122" s="48" t="s">
        <v>560</v>
      </c>
      <c r="C122" s="48" t="s">
        <v>558</v>
      </c>
      <c r="D122" s="48" t="str">
        <f>INPUT_DATA!A103</f>
        <v>F1.2</v>
      </c>
      <c r="E122" s="49">
        <f t="shared" si="30"/>
        <v>0.55698346602097304</v>
      </c>
      <c r="F122" s="49">
        <f t="shared" si="31"/>
        <v>1029.6110710277201</v>
      </c>
      <c r="G122" s="50">
        <v>2</v>
      </c>
      <c r="H122" s="51">
        <f t="shared" si="32"/>
        <v>18.557719724010671</v>
      </c>
      <c r="I122" s="50">
        <f t="shared" si="33"/>
        <v>26.64</v>
      </c>
      <c r="J122" s="52">
        <f t="shared" si="34"/>
        <v>0.97053405137946125</v>
      </c>
    </row>
    <row r="123" spans="1:10" ht="24.95" customHeight="1" x14ac:dyDescent="0.25">
      <c r="A123" s="48">
        <f t="shared" si="35"/>
        <v>112</v>
      </c>
      <c r="B123" s="48" t="s">
        <v>561</v>
      </c>
      <c r="C123" s="48" t="s">
        <v>558</v>
      </c>
      <c r="D123" s="48" t="str">
        <f>INPUT_DATA!A104</f>
        <v>F1.3</v>
      </c>
      <c r="E123" s="49">
        <f t="shared" si="30"/>
        <v>0.55698346602097304</v>
      </c>
      <c r="F123" s="49">
        <f t="shared" si="31"/>
        <v>1029.6110710277201</v>
      </c>
      <c r="G123" s="50">
        <v>2</v>
      </c>
      <c r="H123" s="51">
        <f t="shared" si="32"/>
        <v>18.557719724010671</v>
      </c>
      <c r="I123" s="50">
        <f t="shared" si="33"/>
        <v>26.64</v>
      </c>
      <c r="J123" s="52">
        <f t="shared" si="34"/>
        <v>0.97053405137946125</v>
      </c>
    </row>
    <row r="124" spans="1:10" ht="24.95" customHeight="1" x14ac:dyDescent="0.25">
      <c r="A124" s="48">
        <f t="shared" si="35"/>
        <v>113</v>
      </c>
      <c r="B124" s="48" t="s">
        <v>562</v>
      </c>
      <c r="C124" s="48" t="s">
        <v>558</v>
      </c>
      <c r="D124" s="48" t="str">
        <f>INPUT_DATA!A105</f>
        <v>F1.4</v>
      </c>
      <c r="E124" s="49">
        <f t="shared" si="30"/>
        <v>0.55698346602097304</v>
      </c>
      <c r="F124" s="49">
        <f t="shared" si="31"/>
        <v>1029.6110710277201</v>
      </c>
      <c r="G124" s="50">
        <v>2</v>
      </c>
      <c r="H124" s="51">
        <f t="shared" si="32"/>
        <v>18.557719724010671</v>
      </c>
      <c r="I124" s="50">
        <f t="shared" si="33"/>
        <v>26.64</v>
      </c>
      <c r="J124" s="52">
        <f t="shared" si="34"/>
        <v>0.97053405137946125</v>
      </c>
    </row>
    <row r="125" spans="1:10" ht="24.95" customHeight="1" x14ac:dyDescent="0.25">
      <c r="A125" s="48">
        <f t="shared" si="35"/>
        <v>114</v>
      </c>
      <c r="B125" s="48" t="s">
        <v>563</v>
      </c>
      <c r="C125" s="48" t="s">
        <v>558</v>
      </c>
      <c r="D125" s="48" t="str">
        <f>INPUT_DATA!A106</f>
        <v>F1.5</v>
      </c>
      <c r="E125" s="49">
        <f t="shared" si="30"/>
        <v>0.55698346602097304</v>
      </c>
      <c r="F125" s="49">
        <f t="shared" si="31"/>
        <v>1029.6110710277201</v>
      </c>
      <c r="G125" s="50">
        <v>2</v>
      </c>
      <c r="H125" s="51">
        <f t="shared" si="32"/>
        <v>18.557719724010671</v>
      </c>
      <c r="I125" s="50">
        <f t="shared" si="33"/>
        <v>26.64</v>
      </c>
      <c r="J125" s="52">
        <f t="shared" si="34"/>
        <v>0.97053405137946125</v>
      </c>
    </row>
    <row r="126" spans="1:10" ht="24.95" customHeight="1" x14ac:dyDescent="0.25">
      <c r="A126" s="48">
        <f t="shared" si="35"/>
        <v>115</v>
      </c>
      <c r="B126" s="48" t="s">
        <v>564</v>
      </c>
      <c r="C126" s="48" t="s">
        <v>558</v>
      </c>
      <c r="D126" s="48" t="str">
        <f>INPUT_DATA!A107</f>
        <v>F1.6</v>
      </c>
      <c r="E126" s="49">
        <f t="shared" si="30"/>
        <v>0.55698346602097304</v>
      </c>
      <c r="F126" s="49">
        <f t="shared" si="31"/>
        <v>1029.6110710277201</v>
      </c>
      <c r="G126" s="50">
        <v>2</v>
      </c>
      <c r="H126" s="51">
        <f t="shared" si="32"/>
        <v>18.557719724010671</v>
      </c>
      <c r="I126" s="50">
        <f t="shared" si="33"/>
        <v>26.64</v>
      </c>
      <c r="J126" s="52">
        <f t="shared" si="34"/>
        <v>0.97053405137946125</v>
      </c>
    </row>
    <row r="127" spans="1:10" ht="24.95" customHeight="1" x14ac:dyDescent="0.25">
      <c r="A127" s="48">
        <f t="shared" si="35"/>
        <v>116</v>
      </c>
      <c r="B127" s="48" t="s">
        <v>565</v>
      </c>
      <c r="C127" s="48" t="s">
        <v>558</v>
      </c>
      <c r="D127" s="48" t="str">
        <f>INPUT_DATA!A108</f>
        <v>F1.7</v>
      </c>
      <c r="E127" s="49">
        <f t="shared" si="30"/>
        <v>0.55698346602097304</v>
      </c>
      <c r="F127" s="49">
        <f t="shared" si="31"/>
        <v>1029.6110710277201</v>
      </c>
      <c r="G127" s="50">
        <v>2</v>
      </c>
      <c r="H127" s="51">
        <f t="shared" si="32"/>
        <v>18.557719724010671</v>
      </c>
      <c r="I127" s="50">
        <f t="shared" si="33"/>
        <v>26.64</v>
      </c>
      <c r="J127" s="52">
        <f t="shared" si="34"/>
        <v>0.97053405137946125</v>
      </c>
    </row>
    <row r="128" spans="1:10" ht="24.95" customHeight="1" x14ac:dyDescent="0.25">
      <c r="A128" s="48">
        <f t="shared" si="35"/>
        <v>117</v>
      </c>
      <c r="B128" s="48" t="s">
        <v>566</v>
      </c>
      <c r="C128" s="48" t="s">
        <v>558</v>
      </c>
      <c r="D128" s="48" t="str">
        <f>INPUT_DATA!A109</f>
        <v>F1.8</v>
      </c>
      <c r="E128" s="49">
        <f t="shared" si="30"/>
        <v>0.55698346602097304</v>
      </c>
      <c r="F128" s="49">
        <f t="shared" si="31"/>
        <v>1029.6110710277201</v>
      </c>
      <c r="G128" s="50">
        <v>2</v>
      </c>
      <c r="H128" s="51">
        <f t="shared" si="32"/>
        <v>18.557719724010671</v>
      </c>
      <c r="I128" s="50">
        <f t="shared" si="33"/>
        <v>26.64</v>
      </c>
      <c r="J128" s="52">
        <f t="shared" si="34"/>
        <v>0.97053405137946125</v>
      </c>
    </row>
    <row r="129" spans="1:10" ht="24.95" customHeight="1" x14ac:dyDescent="0.25">
      <c r="A129" s="48">
        <f t="shared" si="35"/>
        <v>118</v>
      </c>
      <c r="B129" s="48" t="s">
        <v>567</v>
      </c>
      <c r="C129" s="48" t="s">
        <v>558</v>
      </c>
      <c r="D129" s="48" t="str">
        <f>INPUT_DATA!A110</f>
        <v>F1.9</v>
      </c>
      <c r="E129" s="49">
        <f t="shared" si="30"/>
        <v>0.55698346602097304</v>
      </c>
      <c r="F129" s="49">
        <f t="shared" si="31"/>
        <v>1029.6110710277201</v>
      </c>
      <c r="G129" s="50">
        <v>2</v>
      </c>
      <c r="H129" s="51">
        <f t="shared" si="32"/>
        <v>18.557719724010671</v>
      </c>
      <c r="I129" s="50">
        <f t="shared" si="33"/>
        <v>26.64</v>
      </c>
      <c r="J129" s="52">
        <f t="shared" si="34"/>
        <v>0.97053405137946125</v>
      </c>
    </row>
    <row r="130" spans="1:10" ht="24.95" customHeight="1" x14ac:dyDescent="0.25">
      <c r="A130" s="48">
        <f t="shared" si="35"/>
        <v>119</v>
      </c>
      <c r="B130" s="48" t="s">
        <v>568</v>
      </c>
      <c r="C130" s="48" t="s">
        <v>558</v>
      </c>
      <c r="D130" s="48" t="str">
        <f>INPUT_DATA!A111</f>
        <v>F1.10</v>
      </c>
      <c r="E130" s="49">
        <f t="shared" si="30"/>
        <v>0.55698346602097304</v>
      </c>
      <c r="F130" s="49">
        <f t="shared" si="31"/>
        <v>1029.6110710277201</v>
      </c>
      <c r="G130" s="50">
        <v>2</v>
      </c>
      <c r="H130" s="51">
        <f t="shared" si="32"/>
        <v>18.557719724010671</v>
      </c>
      <c r="I130" s="50">
        <f t="shared" si="33"/>
        <v>26.64</v>
      </c>
      <c r="J130" s="52">
        <f t="shared" si="34"/>
        <v>0.97053405137946125</v>
      </c>
    </row>
    <row r="131" spans="1:10" ht="24.95" customHeight="1" x14ac:dyDescent="0.25">
      <c r="A131" s="48">
        <f t="shared" si="35"/>
        <v>120</v>
      </c>
      <c r="B131" s="48" t="s">
        <v>569</v>
      </c>
      <c r="C131" s="48" t="s">
        <v>558</v>
      </c>
      <c r="D131" s="48" t="str">
        <f>INPUT_DATA!A112</f>
        <v>F2</v>
      </c>
      <c r="E131" s="49">
        <f t="shared" si="30"/>
        <v>5.5698346602097306</v>
      </c>
      <c r="F131" s="49">
        <f t="shared" si="31"/>
        <v>1029.6110710277201</v>
      </c>
      <c r="G131" s="50">
        <v>1.5</v>
      </c>
      <c r="H131" s="51">
        <f t="shared" si="32"/>
        <v>67.763211391327928</v>
      </c>
      <c r="I131" s="50">
        <f t="shared" si="33"/>
        <v>77.92</v>
      </c>
      <c r="J131" s="52">
        <f t="shared" si="34"/>
        <v>1.134439475895006</v>
      </c>
    </row>
    <row r="132" spans="1:10" ht="24.95" customHeight="1" x14ac:dyDescent="0.25">
      <c r="A132" s="48">
        <f t="shared" si="35"/>
        <v>121</v>
      </c>
      <c r="B132" s="48" t="s">
        <v>570</v>
      </c>
      <c r="C132" s="48" t="s">
        <v>558</v>
      </c>
      <c r="D132" s="48" t="str">
        <f>INPUT_DATA!A113</f>
        <v>F2.1</v>
      </c>
      <c r="E132" s="49">
        <f t="shared" si="30"/>
        <v>0.55698346602097304</v>
      </c>
      <c r="F132" s="49">
        <f t="shared" si="31"/>
        <v>1029.6110710277201</v>
      </c>
      <c r="G132" s="50">
        <v>2</v>
      </c>
      <c r="H132" s="51">
        <f t="shared" si="32"/>
        <v>18.557719724010671</v>
      </c>
      <c r="I132" s="50">
        <f t="shared" si="33"/>
        <v>26.64</v>
      </c>
      <c r="J132" s="52">
        <f t="shared" si="34"/>
        <v>0.97053405137946125</v>
      </c>
    </row>
    <row r="133" spans="1:10" ht="24.95" customHeight="1" x14ac:dyDescent="0.25">
      <c r="A133" s="48">
        <f t="shared" si="35"/>
        <v>122</v>
      </c>
      <c r="B133" s="48" t="s">
        <v>571</v>
      </c>
      <c r="C133" s="48" t="s">
        <v>558</v>
      </c>
      <c r="D133" s="48" t="str">
        <f>INPUT_DATA!A114</f>
        <v>F2.2</v>
      </c>
      <c r="E133" s="49">
        <f t="shared" si="30"/>
        <v>0.55698346602097304</v>
      </c>
      <c r="F133" s="49">
        <f t="shared" si="31"/>
        <v>1029.6110710277201</v>
      </c>
      <c r="G133" s="50">
        <v>2</v>
      </c>
      <c r="H133" s="51">
        <f t="shared" si="32"/>
        <v>18.557719724010671</v>
      </c>
      <c r="I133" s="50">
        <f t="shared" si="33"/>
        <v>26.64</v>
      </c>
      <c r="J133" s="52">
        <f t="shared" si="34"/>
        <v>0.97053405137946125</v>
      </c>
    </row>
    <row r="134" spans="1:10" ht="24.95" customHeight="1" x14ac:dyDescent="0.25">
      <c r="A134" s="48">
        <f t="shared" si="35"/>
        <v>123</v>
      </c>
      <c r="B134" s="48" t="s">
        <v>572</v>
      </c>
      <c r="C134" s="48" t="s">
        <v>558</v>
      </c>
      <c r="D134" s="48" t="str">
        <f>INPUT_DATA!A115</f>
        <v>F2.3</v>
      </c>
      <c r="E134" s="49">
        <f t="shared" si="30"/>
        <v>0.55698346602097304</v>
      </c>
      <c r="F134" s="49">
        <f t="shared" si="31"/>
        <v>1029.6110710277201</v>
      </c>
      <c r="G134" s="50">
        <v>2</v>
      </c>
      <c r="H134" s="51">
        <f t="shared" si="32"/>
        <v>18.557719724010671</v>
      </c>
      <c r="I134" s="50">
        <f t="shared" si="33"/>
        <v>26.64</v>
      </c>
      <c r="J134" s="52">
        <f t="shared" si="34"/>
        <v>0.97053405137946125</v>
      </c>
    </row>
    <row r="135" spans="1:10" ht="24.95" customHeight="1" x14ac:dyDescent="0.25">
      <c r="A135" s="48">
        <f t="shared" si="35"/>
        <v>124</v>
      </c>
      <c r="B135" s="48" t="s">
        <v>573</v>
      </c>
      <c r="C135" s="48" t="s">
        <v>558</v>
      </c>
      <c r="D135" s="48" t="str">
        <f>INPUT_DATA!A116</f>
        <v>F2.4</v>
      </c>
      <c r="E135" s="49">
        <f t="shared" si="30"/>
        <v>0.55698346602097304</v>
      </c>
      <c r="F135" s="49">
        <f t="shared" si="31"/>
        <v>1029.6110710277201</v>
      </c>
      <c r="G135" s="50">
        <v>2</v>
      </c>
      <c r="H135" s="51">
        <f t="shared" si="32"/>
        <v>18.557719724010671</v>
      </c>
      <c r="I135" s="50">
        <f t="shared" si="33"/>
        <v>26.64</v>
      </c>
      <c r="J135" s="52">
        <f t="shared" si="34"/>
        <v>0.97053405137946125</v>
      </c>
    </row>
    <row r="136" spans="1:10" ht="24.95" customHeight="1" x14ac:dyDescent="0.25">
      <c r="A136" s="48">
        <f t="shared" si="35"/>
        <v>125</v>
      </c>
      <c r="B136" s="48" t="s">
        <v>574</v>
      </c>
      <c r="C136" s="48" t="s">
        <v>558</v>
      </c>
      <c r="D136" s="48" t="str">
        <f>INPUT_DATA!A117</f>
        <v>F2.5</v>
      </c>
      <c r="E136" s="49">
        <f t="shared" si="30"/>
        <v>0.55698346602097304</v>
      </c>
      <c r="F136" s="49">
        <f t="shared" si="31"/>
        <v>1029.6110710277201</v>
      </c>
      <c r="G136" s="50">
        <v>2</v>
      </c>
      <c r="H136" s="51">
        <f t="shared" si="32"/>
        <v>18.557719724010671</v>
      </c>
      <c r="I136" s="50">
        <f t="shared" si="33"/>
        <v>26.64</v>
      </c>
      <c r="J136" s="52">
        <f t="shared" si="34"/>
        <v>0.97053405137946125</v>
      </c>
    </row>
    <row r="137" spans="1:10" ht="24.95" customHeight="1" x14ac:dyDescent="0.25">
      <c r="A137" s="48">
        <f t="shared" si="35"/>
        <v>126</v>
      </c>
      <c r="B137" s="48" t="s">
        <v>575</v>
      </c>
      <c r="C137" s="48" t="s">
        <v>558</v>
      </c>
      <c r="D137" s="48" t="str">
        <f>INPUT_DATA!A118</f>
        <v>F2.6</v>
      </c>
      <c r="E137" s="49">
        <f t="shared" si="30"/>
        <v>0.55698346602097304</v>
      </c>
      <c r="F137" s="49">
        <f t="shared" si="31"/>
        <v>1029.6110710277201</v>
      </c>
      <c r="G137" s="50">
        <v>2</v>
      </c>
      <c r="H137" s="51">
        <f t="shared" si="32"/>
        <v>18.557719724010671</v>
      </c>
      <c r="I137" s="50">
        <f t="shared" si="33"/>
        <v>26.64</v>
      </c>
      <c r="J137" s="52">
        <f t="shared" si="34"/>
        <v>0.97053405137946125</v>
      </c>
    </row>
    <row r="138" spans="1:10" ht="24.95" customHeight="1" x14ac:dyDescent="0.25">
      <c r="A138" s="48">
        <f t="shared" si="35"/>
        <v>127</v>
      </c>
      <c r="B138" s="48" t="s">
        <v>576</v>
      </c>
      <c r="C138" s="48" t="s">
        <v>558</v>
      </c>
      <c r="D138" s="48" t="str">
        <f>INPUT_DATA!A119</f>
        <v>F2.7</v>
      </c>
      <c r="E138" s="49">
        <f t="shared" si="30"/>
        <v>0.55698346602097304</v>
      </c>
      <c r="F138" s="49">
        <f t="shared" si="31"/>
        <v>1029.6110710277201</v>
      </c>
      <c r="G138" s="50">
        <v>2</v>
      </c>
      <c r="H138" s="51">
        <f t="shared" si="32"/>
        <v>18.557719724010671</v>
      </c>
      <c r="I138" s="50">
        <f t="shared" si="33"/>
        <v>26.64</v>
      </c>
      <c r="J138" s="52">
        <f t="shared" si="34"/>
        <v>0.97053405137946125</v>
      </c>
    </row>
    <row r="139" spans="1:10" ht="24.95" customHeight="1" x14ac:dyDescent="0.25">
      <c r="A139" s="48">
        <f t="shared" si="35"/>
        <v>128</v>
      </c>
      <c r="B139" s="48" t="s">
        <v>577</v>
      </c>
      <c r="C139" s="48" t="s">
        <v>558</v>
      </c>
      <c r="D139" s="48" t="str">
        <f>INPUT_DATA!A120</f>
        <v>F2.8</v>
      </c>
      <c r="E139" s="49">
        <f t="shared" si="30"/>
        <v>0.55698346602097304</v>
      </c>
      <c r="F139" s="49">
        <f t="shared" si="31"/>
        <v>1029.6110710277201</v>
      </c>
      <c r="G139" s="50">
        <v>2</v>
      </c>
      <c r="H139" s="51">
        <f t="shared" si="32"/>
        <v>18.557719724010671</v>
      </c>
      <c r="I139" s="50">
        <f t="shared" si="33"/>
        <v>26.64</v>
      </c>
      <c r="J139" s="52">
        <f t="shared" si="34"/>
        <v>0.97053405137946125</v>
      </c>
    </row>
    <row r="140" spans="1:10" ht="24.95" customHeight="1" x14ac:dyDescent="0.25">
      <c r="A140" s="48">
        <f t="shared" si="35"/>
        <v>129</v>
      </c>
      <c r="B140" s="48" t="s">
        <v>578</v>
      </c>
      <c r="C140" s="48" t="s">
        <v>558</v>
      </c>
      <c r="D140" s="48" t="str">
        <f>INPUT_DATA!A121</f>
        <v>F2.9</v>
      </c>
      <c r="E140" s="49">
        <f t="shared" si="30"/>
        <v>0.55698346602097304</v>
      </c>
      <c r="F140" s="49">
        <f t="shared" si="31"/>
        <v>1029.6110710277201</v>
      </c>
      <c r="G140" s="50">
        <v>2</v>
      </c>
      <c r="H140" s="51">
        <f t="shared" si="32"/>
        <v>18.557719724010671</v>
      </c>
      <c r="I140" s="50">
        <f t="shared" si="33"/>
        <v>26.64</v>
      </c>
      <c r="J140" s="52">
        <f t="shared" si="34"/>
        <v>0.97053405137946125</v>
      </c>
    </row>
    <row r="141" spans="1:10" ht="24.95" customHeight="1" x14ac:dyDescent="0.25">
      <c r="A141" s="48">
        <f t="shared" si="35"/>
        <v>130</v>
      </c>
      <c r="B141" s="48" t="s">
        <v>579</v>
      </c>
      <c r="C141" s="48" t="s">
        <v>558</v>
      </c>
      <c r="D141" s="48" t="str">
        <f>INPUT_DATA!A122</f>
        <v>F2.10</v>
      </c>
      <c r="E141" s="49">
        <f t="shared" si="30"/>
        <v>0.55698346602097304</v>
      </c>
      <c r="F141" s="49">
        <f t="shared" si="31"/>
        <v>1029.6110710277201</v>
      </c>
      <c r="G141" s="50">
        <v>2</v>
      </c>
      <c r="H141" s="51">
        <f t="shared" si="32"/>
        <v>18.557719724010671</v>
      </c>
      <c r="I141" s="50">
        <f t="shared" si="33"/>
        <v>26.64</v>
      </c>
      <c r="J141" s="52">
        <f t="shared" si="34"/>
        <v>0.97053405137946125</v>
      </c>
    </row>
    <row r="142" spans="1:10" ht="24.95" customHeight="1" x14ac:dyDescent="0.25">
      <c r="A142" s="48">
        <f t="shared" si="35"/>
        <v>131</v>
      </c>
      <c r="B142" s="48" t="s">
        <v>580</v>
      </c>
      <c r="C142" s="48" t="s">
        <v>558</v>
      </c>
      <c r="D142" s="48" t="str">
        <f>INPUT_DATA!A123</f>
        <v>F3</v>
      </c>
      <c r="E142" s="49">
        <f t="shared" si="30"/>
        <v>5.5598346602097308</v>
      </c>
      <c r="F142" s="49">
        <f t="shared" si="31"/>
        <v>1029.6110710277201</v>
      </c>
      <c r="G142" s="50">
        <v>1.5</v>
      </c>
      <c r="H142" s="51">
        <f t="shared" si="32"/>
        <v>67.702353521990716</v>
      </c>
      <c r="I142" s="50">
        <f t="shared" si="33"/>
        <v>77.92</v>
      </c>
      <c r="J142" s="52">
        <f t="shared" si="34"/>
        <v>1.1324027197880442</v>
      </c>
    </row>
    <row r="143" spans="1:10" ht="24.95" customHeight="1" x14ac:dyDescent="0.25">
      <c r="A143" s="48">
        <f t="shared" si="35"/>
        <v>132</v>
      </c>
      <c r="B143" s="48" t="s">
        <v>581</v>
      </c>
      <c r="C143" s="48" t="s">
        <v>558</v>
      </c>
      <c r="D143" s="48" t="str">
        <f>INPUT_DATA!A124</f>
        <v>F3.1</v>
      </c>
      <c r="E143" s="49">
        <f t="shared" si="30"/>
        <v>0.55598346602097304</v>
      </c>
      <c r="F143" s="49">
        <f t="shared" si="31"/>
        <v>1029.6110710277201</v>
      </c>
      <c r="G143" s="50">
        <v>2</v>
      </c>
      <c r="H143" s="51">
        <f t="shared" si="32"/>
        <v>18.541053110091823</v>
      </c>
      <c r="I143" s="50">
        <f t="shared" si="33"/>
        <v>26.64</v>
      </c>
      <c r="J143" s="52">
        <f t="shared" si="34"/>
        <v>0.968791568683677</v>
      </c>
    </row>
    <row r="144" spans="1:10" ht="24.95" customHeight="1" x14ac:dyDescent="0.25">
      <c r="A144" s="48">
        <f t="shared" si="35"/>
        <v>133</v>
      </c>
      <c r="B144" s="48" t="s">
        <v>582</v>
      </c>
      <c r="C144" s="48" t="s">
        <v>558</v>
      </c>
      <c r="D144" s="48" t="str">
        <f>INPUT_DATA!A125</f>
        <v>F3.2</v>
      </c>
      <c r="E144" s="49">
        <f t="shared" si="30"/>
        <v>0.55598346602097304</v>
      </c>
      <c r="F144" s="49">
        <f t="shared" si="31"/>
        <v>1029.6110710277201</v>
      </c>
      <c r="G144" s="50">
        <v>2</v>
      </c>
      <c r="H144" s="51">
        <f t="shared" si="32"/>
        <v>18.541053110091823</v>
      </c>
      <c r="I144" s="50">
        <f t="shared" si="33"/>
        <v>26.64</v>
      </c>
      <c r="J144" s="52">
        <f t="shared" si="34"/>
        <v>0.968791568683677</v>
      </c>
    </row>
    <row r="145" spans="1:10" ht="24.95" customHeight="1" x14ac:dyDescent="0.25">
      <c r="A145" s="48">
        <f t="shared" si="35"/>
        <v>134</v>
      </c>
      <c r="B145" s="48" t="s">
        <v>583</v>
      </c>
      <c r="C145" s="48" t="s">
        <v>558</v>
      </c>
      <c r="D145" s="48" t="str">
        <f>INPUT_DATA!A126</f>
        <v>F3.3</v>
      </c>
      <c r="E145" s="49">
        <f t="shared" si="30"/>
        <v>0.55598346602097304</v>
      </c>
      <c r="F145" s="49">
        <f t="shared" si="31"/>
        <v>1029.6110710277201</v>
      </c>
      <c r="G145" s="50">
        <v>2</v>
      </c>
      <c r="H145" s="51">
        <f t="shared" si="32"/>
        <v>18.541053110091823</v>
      </c>
      <c r="I145" s="50">
        <f t="shared" si="33"/>
        <v>26.64</v>
      </c>
      <c r="J145" s="52">
        <f t="shared" si="34"/>
        <v>0.968791568683677</v>
      </c>
    </row>
    <row r="146" spans="1:10" ht="24.95" customHeight="1" x14ac:dyDescent="0.25">
      <c r="A146" s="48">
        <f t="shared" si="35"/>
        <v>135</v>
      </c>
      <c r="B146" s="48" t="s">
        <v>584</v>
      </c>
      <c r="C146" s="48" t="s">
        <v>558</v>
      </c>
      <c r="D146" s="48" t="str">
        <f>INPUT_DATA!A127</f>
        <v>F3.4</v>
      </c>
      <c r="E146" s="49">
        <f t="shared" si="30"/>
        <v>0.55598346602097304</v>
      </c>
      <c r="F146" s="49">
        <f t="shared" si="31"/>
        <v>1029.6110710277201</v>
      </c>
      <c r="G146" s="50">
        <v>2</v>
      </c>
      <c r="H146" s="51">
        <f t="shared" si="32"/>
        <v>18.541053110091823</v>
      </c>
      <c r="I146" s="50">
        <f t="shared" si="33"/>
        <v>26.64</v>
      </c>
      <c r="J146" s="52">
        <f t="shared" si="34"/>
        <v>0.968791568683677</v>
      </c>
    </row>
    <row r="147" spans="1:10" ht="24.95" customHeight="1" x14ac:dyDescent="0.25">
      <c r="A147" s="48">
        <f t="shared" si="35"/>
        <v>136</v>
      </c>
      <c r="B147" s="48" t="s">
        <v>585</v>
      </c>
      <c r="C147" s="48" t="s">
        <v>558</v>
      </c>
      <c r="D147" s="48" t="str">
        <f>INPUT_DATA!A128</f>
        <v>F3.5</v>
      </c>
      <c r="E147" s="49">
        <f t="shared" si="30"/>
        <v>0.55598346602097304</v>
      </c>
      <c r="F147" s="49">
        <f t="shared" si="31"/>
        <v>1029.6110710277201</v>
      </c>
      <c r="G147" s="50">
        <v>2</v>
      </c>
      <c r="H147" s="51">
        <f t="shared" si="32"/>
        <v>18.541053110091823</v>
      </c>
      <c r="I147" s="50">
        <f t="shared" si="33"/>
        <v>26.64</v>
      </c>
      <c r="J147" s="52">
        <f t="shared" si="34"/>
        <v>0.968791568683677</v>
      </c>
    </row>
    <row r="148" spans="1:10" ht="24.95" customHeight="1" x14ac:dyDescent="0.25">
      <c r="A148" s="48">
        <f t="shared" si="35"/>
        <v>137</v>
      </c>
      <c r="B148" s="48" t="s">
        <v>586</v>
      </c>
      <c r="C148" s="48" t="s">
        <v>558</v>
      </c>
      <c r="D148" s="48" t="str">
        <f>INPUT_DATA!A129</f>
        <v>F3.6</v>
      </c>
      <c r="E148" s="49">
        <f t="shared" si="30"/>
        <v>0.55598346602097304</v>
      </c>
      <c r="F148" s="49">
        <f t="shared" si="31"/>
        <v>1029.6110710277201</v>
      </c>
      <c r="G148" s="50">
        <v>2</v>
      </c>
      <c r="H148" s="51">
        <f t="shared" si="32"/>
        <v>18.541053110091823</v>
      </c>
      <c r="I148" s="50">
        <f t="shared" si="33"/>
        <v>26.64</v>
      </c>
      <c r="J148" s="52">
        <f t="shared" si="34"/>
        <v>0.968791568683677</v>
      </c>
    </row>
    <row r="149" spans="1:10" ht="24.95" customHeight="1" x14ac:dyDescent="0.25">
      <c r="A149" s="48">
        <f t="shared" si="35"/>
        <v>138</v>
      </c>
      <c r="B149" s="48" t="s">
        <v>587</v>
      </c>
      <c r="C149" s="48" t="s">
        <v>558</v>
      </c>
      <c r="D149" s="48" t="str">
        <f>INPUT_DATA!A130</f>
        <v>F3.7</v>
      </c>
      <c r="E149" s="49">
        <f t="shared" si="30"/>
        <v>0.55598346602097304</v>
      </c>
      <c r="F149" s="49">
        <f t="shared" si="31"/>
        <v>1029.6110710277201</v>
      </c>
      <c r="G149" s="50">
        <v>2</v>
      </c>
      <c r="H149" s="51">
        <f t="shared" si="32"/>
        <v>18.541053110091823</v>
      </c>
      <c r="I149" s="50">
        <f t="shared" si="33"/>
        <v>26.64</v>
      </c>
      <c r="J149" s="52">
        <f t="shared" si="34"/>
        <v>0.968791568683677</v>
      </c>
    </row>
    <row r="150" spans="1:10" ht="24.95" customHeight="1" x14ac:dyDescent="0.25">
      <c r="A150" s="48">
        <f t="shared" si="35"/>
        <v>139</v>
      </c>
      <c r="B150" s="48" t="s">
        <v>588</v>
      </c>
      <c r="C150" s="48" t="s">
        <v>558</v>
      </c>
      <c r="D150" s="48" t="str">
        <f>INPUT_DATA!A131</f>
        <v>F3.8</v>
      </c>
      <c r="E150" s="49">
        <f t="shared" si="30"/>
        <v>0.55598346602097304</v>
      </c>
      <c r="F150" s="49">
        <f t="shared" si="31"/>
        <v>1029.6110710277201</v>
      </c>
      <c r="G150" s="50">
        <v>2</v>
      </c>
      <c r="H150" s="51">
        <f t="shared" si="32"/>
        <v>18.541053110091823</v>
      </c>
      <c r="I150" s="50">
        <f t="shared" si="33"/>
        <v>26.64</v>
      </c>
      <c r="J150" s="52">
        <f t="shared" si="34"/>
        <v>0.968791568683677</v>
      </c>
    </row>
    <row r="151" spans="1:10" ht="24.95" customHeight="1" x14ac:dyDescent="0.25">
      <c r="A151" s="48">
        <f t="shared" si="35"/>
        <v>140</v>
      </c>
      <c r="B151" s="48" t="s">
        <v>589</v>
      </c>
      <c r="C151" s="48" t="s">
        <v>558</v>
      </c>
      <c r="D151" s="48" t="str">
        <f>INPUT_DATA!A132</f>
        <v>F3.9</v>
      </c>
      <c r="E151" s="49">
        <f t="shared" si="30"/>
        <v>0.55598346602097304</v>
      </c>
      <c r="F151" s="49">
        <f t="shared" si="31"/>
        <v>1029.6110710277201</v>
      </c>
      <c r="G151" s="50">
        <v>2</v>
      </c>
      <c r="H151" s="51">
        <f t="shared" si="32"/>
        <v>18.541053110091823</v>
      </c>
      <c r="I151" s="50">
        <f t="shared" si="33"/>
        <v>26.64</v>
      </c>
      <c r="J151" s="52">
        <f t="shared" si="34"/>
        <v>0.968791568683677</v>
      </c>
    </row>
    <row r="152" spans="1:10" ht="24.95" customHeight="1" x14ac:dyDescent="0.25">
      <c r="A152" s="48">
        <f t="shared" si="35"/>
        <v>141</v>
      </c>
      <c r="B152" s="48" t="s">
        <v>590</v>
      </c>
      <c r="C152" s="48" t="s">
        <v>558</v>
      </c>
      <c r="D152" s="48" t="str">
        <f>INPUT_DATA!A133</f>
        <v>F3.10</v>
      </c>
      <c r="E152" s="49">
        <f t="shared" ref="E152:E183" si="36">IFERROR(INDEX(FlowRates_kgs,MATCH(D152,LineTags,0)),"")</f>
        <v>0.55598346602097304</v>
      </c>
      <c r="F152" s="49">
        <f t="shared" ref="F152:F183" si="37">IFERROR(INDEX(Densities,MATCH(D152,LineTags,0)),"")</f>
        <v>1029.6110710277201</v>
      </c>
      <c r="G152" s="50">
        <v>2</v>
      </c>
      <c r="H152" s="51">
        <f t="shared" ref="H152:H183" si="38">IFERROR(SQRT((4*E152)/(PI()*F152*G152))*1000,"")</f>
        <v>18.541053110091823</v>
      </c>
      <c r="I152" s="50">
        <f t="shared" ref="I152:I183" si="39">IFERROR(VLOOKUP(ROUNDUP(H152,-1),PipeReference,2,TRUE),"Check Size")</f>
        <v>26.64</v>
      </c>
      <c r="J152" s="52">
        <f t="shared" ref="J152:J183" si="40">IFERROR((4*E152)/(PI()*F152*(I152/1000)^2),"")</f>
        <v>0.968791568683677</v>
      </c>
    </row>
    <row r="153" spans="1:10" ht="24.95" customHeight="1" x14ac:dyDescent="0.25">
      <c r="A153" s="48">
        <f t="shared" ref="A153:A184" si="41">A152+1</f>
        <v>142</v>
      </c>
      <c r="B153" s="48" t="s">
        <v>591</v>
      </c>
      <c r="C153" s="48" t="s">
        <v>558</v>
      </c>
      <c r="D153" s="48" t="str">
        <f>INPUT_DATA!A134</f>
        <v>F4</v>
      </c>
      <c r="E153" s="49">
        <f t="shared" si="36"/>
        <v>5.61</v>
      </c>
      <c r="F153" s="49">
        <f t="shared" si="37"/>
        <v>1030.8207807598301</v>
      </c>
      <c r="G153" s="50">
        <v>1.5</v>
      </c>
      <c r="H153" s="51">
        <f t="shared" si="38"/>
        <v>67.967184181271222</v>
      </c>
      <c r="I153" s="50">
        <f t="shared" si="39"/>
        <v>77.92</v>
      </c>
      <c r="J153" s="52">
        <f t="shared" si="40"/>
        <v>1.1412792651772492</v>
      </c>
    </row>
    <row r="154" spans="1:10" ht="24.95" customHeight="1" x14ac:dyDescent="0.25">
      <c r="A154" s="48">
        <f t="shared" si="41"/>
        <v>143</v>
      </c>
      <c r="B154" s="48" t="s">
        <v>592</v>
      </c>
      <c r="C154" s="48" t="s">
        <v>558</v>
      </c>
      <c r="D154" s="48" t="str">
        <f>INPUT_DATA!A135</f>
        <v>F4.1</v>
      </c>
      <c r="E154" s="49">
        <f t="shared" si="36"/>
        <v>0.56100000000000005</v>
      </c>
      <c r="F154" s="49">
        <f t="shared" si="37"/>
        <v>1030.8207807598301</v>
      </c>
      <c r="G154" s="50">
        <v>2</v>
      </c>
      <c r="H154" s="51">
        <f t="shared" si="38"/>
        <v>18.613579973095273</v>
      </c>
      <c r="I154" s="50">
        <f t="shared" si="39"/>
        <v>26.64</v>
      </c>
      <c r="J154" s="52">
        <f t="shared" si="40"/>
        <v>0.97638561820495462</v>
      </c>
    </row>
    <row r="155" spans="1:10" ht="24.95" customHeight="1" x14ac:dyDescent="0.25">
      <c r="A155" s="48">
        <f t="shared" si="41"/>
        <v>144</v>
      </c>
      <c r="B155" s="48" t="s">
        <v>593</v>
      </c>
      <c r="C155" s="48" t="s">
        <v>558</v>
      </c>
      <c r="D155" s="48" t="str">
        <f>INPUT_DATA!A136</f>
        <v>F4.2</v>
      </c>
      <c r="E155" s="49">
        <f t="shared" si="36"/>
        <v>0.56100000000000005</v>
      </c>
      <c r="F155" s="49">
        <f t="shared" si="37"/>
        <v>1030.8207807598301</v>
      </c>
      <c r="G155" s="50">
        <v>2</v>
      </c>
      <c r="H155" s="51">
        <f t="shared" si="38"/>
        <v>18.613579973095273</v>
      </c>
      <c r="I155" s="50">
        <f t="shared" si="39"/>
        <v>26.64</v>
      </c>
      <c r="J155" s="52">
        <f t="shared" si="40"/>
        <v>0.97638561820495462</v>
      </c>
    </row>
    <row r="156" spans="1:10" ht="24.95" customHeight="1" x14ac:dyDescent="0.25">
      <c r="A156" s="48">
        <f t="shared" si="41"/>
        <v>145</v>
      </c>
      <c r="B156" s="48" t="s">
        <v>594</v>
      </c>
      <c r="C156" s="48" t="s">
        <v>558</v>
      </c>
      <c r="D156" s="48" t="str">
        <f>INPUT_DATA!A137</f>
        <v>F4.3</v>
      </c>
      <c r="E156" s="49">
        <f t="shared" si="36"/>
        <v>0.56100000000000005</v>
      </c>
      <c r="F156" s="49">
        <f t="shared" si="37"/>
        <v>1030.8207807598301</v>
      </c>
      <c r="G156" s="50">
        <v>2</v>
      </c>
      <c r="H156" s="51">
        <f t="shared" si="38"/>
        <v>18.613579973095273</v>
      </c>
      <c r="I156" s="50">
        <f t="shared" si="39"/>
        <v>26.64</v>
      </c>
      <c r="J156" s="52">
        <f t="shared" si="40"/>
        <v>0.97638561820495462</v>
      </c>
    </row>
    <row r="157" spans="1:10" ht="24.95" customHeight="1" x14ac:dyDescent="0.25">
      <c r="A157" s="48">
        <f t="shared" si="41"/>
        <v>146</v>
      </c>
      <c r="B157" s="48" t="s">
        <v>595</v>
      </c>
      <c r="C157" s="48" t="s">
        <v>558</v>
      </c>
      <c r="D157" s="48" t="str">
        <f>INPUT_DATA!A138</f>
        <v>F4.4</v>
      </c>
      <c r="E157" s="49">
        <f t="shared" si="36"/>
        <v>0.56100000000000005</v>
      </c>
      <c r="F157" s="49">
        <f t="shared" si="37"/>
        <v>1030.8207807598301</v>
      </c>
      <c r="G157" s="50">
        <v>2</v>
      </c>
      <c r="H157" s="51">
        <f t="shared" si="38"/>
        <v>18.613579973095273</v>
      </c>
      <c r="I157" s="50">
        <f t="shared" si="39"/>
        <v>26.64</v>
      </c>
      <c r="J157" s="52">
        <f t="shared" si="40"/>
        <v>0.97638561820495462</v>
      </c>
    </row>
    <row r="158" spans="1:10" ht="24.95" customHeight="1" x14ac:dyDescent="0.25">
      <c r="A158" s="48">
        <f t="shared" si="41"/>
        <v>147</v>
      </c>
      <c r="B158" s="48" t="s">
        <v>596</v>
      </c>
      <c r="C158" s="48" t="s">
        <v>558</v>
      </c>
      <c r="D158" s="48" t="str">
        <f>INPUT_DATA!A139</f>
        <v>F4.5</v>
      </c>
      <c r="E158" s="49">
        <f t="shared" si="36"/>
        <v>0.56100000000000005</v>
      </c>
      <c r="F158" s="49">
        <f t="shared" si="37"/>
        <v>1030.8207807598301</v>
      </c>
      <c r="G158" s="50">
        <v>2</v>
      </c>
      <c r="H158" s="51">
        <f t="shared" si="38"/>
        <v>18.613579973095273</v>
      </c>
      <c r="I158" s="50">
        <f t="shared" si="39"/>
        <v>26.64</v>
      </c>
      <c r="J158" s="52">
        <f t="shared" si="40"/>
        <v>0.97638561820495462</v>
      </c>
    </row>
    <row r="159" spans="1:10" ht="24.95" customHeight="1" x14ac:dyDescent="0.25">
      <c r="A159" s="48">
        <f t="shared" si="41"/>
        <v>148</v>
      </c>
      <c r="B159" s="48" t="s">
        <v>597</v>
      </c>
      <c r="C159" s="48" t="s">
        <v>558</v>
      </c>
      <c r="D159" s="48" t="str">
        <f>INPUT_DATA!A140</f>
        <v>F4.6</v>
      </c>
      <c r="E159" s="49">
        <f t="shared" si="36"/>
        <v>0.56100000000000005</v>
      </c>
      <c r="F159" s="49">
        <f t="shared" si="37"/>
        <v>1030.8207807598301</v>
      </c>
      <c r="G159" s="50">
        <v>2</v>
      </c>
      <c r="H159" s="51">
        <f t="shared" si="38"/>
        <v>18.613579973095273</v>
      </c>
      <c r="I159" s="50">
        <f t="shared" si="39"/>
        <v>26.64</v>
      </c>
      <c r="J159" s="52">
        <f t="shared" si="40"/>
        <v>0.97638561820495462</v>
      </c>
    </row>
    <row r="160" spans="1:10" ht="24.95" customHeight="1" x14ac:dyDescent="0.25">
      <c r="A160" s="48">
        <f t="shared" si="41"/>
        <v>149</v>
      </c>
      <c r="B160" s="48" t="s">
        <v>598</v>
      </c>
      <c r="C160" s="48" t="s">
        <v>558</v>
      </c>
      <c r="D160" s="48" t="str">
        <f>INPUT_DATA!A141</f>
        <v>F4.7</v>
      </c>
      <c r="E160" s="49">
        <f t="shared" si="36"/>
        <v>0.56100000000000005</v>
      </c>
      <c r="F160" s="49">
        <f t="shared" si="37"/>
        <v>1030.8207807598301</v>
      </c>
      <c r="G160" s="50">
        <v>2</v>
      </c>
      <c r="H160" s="51">
        <f t="shared" si="38"/>
        <v>18.613579973095273</v>
      </c>
      <c r="I160" s="50">
        <f t="shared" si="39"/>
        <v>26.64</v>
      </c>
      <c r="J160" s="52">
        <f t="shared" si="40"/>
        <v>0.97638561820495462</v>
      </c>
    </row>
    <row r="161" spans="1:10" ht="24.95" customHeight="1" x14ac:dyDescent="0.25">
      <c r="A161" s="48">
        <f t="shared" si="41"/>
        <v>150</v>
      </c>
      <c r="B161" s="48" t="s">
        <v>599</v>
      </c>
      <c r="C161" s="48" t="s">
        <v>558</v>
      </c>
      <c r="D161" s="48" t="str">
        <f>INPUT_DATA!A142</f>
        <v>F4.8</v>
      </c>
      <c r="E161" s="49">
        <f t="shared" si="36"/>
        <v>0.56100000000000005</v>
      </c>
      <c r="F161" s="49">
        <f t="shared" si="37"/>
        <v>1030.8207807598301</v>
      </c>
      <c r="G161" s="50">
        <v>2</v>
      </c>
      <c r="H161" s="51">
        <f t="shared" si="38"/>
        <v>18.613579973095273</v>
      </c>
      <c r="I161" s="50">
        <f t="shared" si="39"/>
        <v>26.64</v>
      </c>
      <c r="J161" s="52">
        <f t="shared" si="40"/>
        <v>0.97638561820495462</v>
      </c>
    </row>
    <row r="162" spans="1:10" ht="24.95" customHeight="1" x14ac:dyDescent="0.25">
      <c r="A162" s="48">
        <f t="shared" si="41"/>
        <v>151</v>
      </c>
      <c r="B162" s="48" t="s">
        <v>600</v>
      </c>
      <c r="C162" s="48" t="s">
        <v>558</v>
      </c>
      <c r="D162" s="48" t="str">
        <f>INPUT_DATA!A143</f>
        <v>F4.9</v>
      </c>
      <c r="E162" s="49">
        <f t="shared" si="36"/>
        <v>0.56100000000000005</v>
      </c>
      <c r="F162" s="49">
        <f t="shared" si="37"/>
        <v>1030.8207807598301</v>
      </c>
      <c r="G162" s="50">
        <v>2</v>
      </c>
      <c r="H162" s="51">
        <f t="shared" si="38"/>
        <v>18.613579973095273</v>
      </c>
      <c r="I162" s="50">
        <f t="shared" si="39"/>
        <v>26.64</v>
      </c>
      <c r="J162" s="52">
        <f t="shared" si="40"/>
        <v>0.97638561820495462</v>
      </c>
    </row>
    <row r="163" spans="1:10" ht="24.95" customHeight="1" x14ac:dyDescent="0.25">
      <c r="A163" s="48">
        <f t="shared" si="41"/>
        <v>152</v>
      </c>
      <c r="B163" s="48" t="s">
        <v>601</v>
      </c>
      <c r="C163" s="48" t="s">
        <v>558</v>
      </c>
      <c r="D163" s="48" t="str">
        <f>INPUT_DATA!A144</f>
        <v>F4.10</v>
      </c>
      <c r="E163" s="49">
        <f t="shared" si="36"/>
        <v>0.56100000000000005</v>
      </c>
      <c r="F163" s="49">
        <f t="shared" si="37"/>
        <v>1030.8207807598301</v>
      </c>
      <c r="G163" s="50">
        <v>2</v>
      </c>
      <c r="H163" s="51">
        <f t="shared" si="38"/>
        <v>18.613579973095273</v>
      </c>
      <c r="I163" s="50">
        <f t="shared" si="39"/>
        <v>26.64</v>
      </c>
      <c r="J163" s="52">
        <f t="shared" si="40"/>
        <v>0.97638561820495462</v>
      </c>
    </row>
    <row r="164" spans="1:10" ht="24.95" customHeight="1" x14ac:dyDescent="0.25">
      <c r="A164" s="48">
        <f t="shared" si="41"/>
        <v>153</v>
      </c>
      <c r="B164" s="48" t="s">
        <v>602</v>
      </c>
      <c r="C164" s="48" t="s">
        <v>558</v>
      </c>
      <c r="D164" s="48" t="str">
        <f>INPUT_DATA!A145</f>
        <v>F5</v>
      </c>
      <c r="E164" s="49">
        <f t="shared" si="36"/>
        <v>5.61</v>
      </c>
      <c r="F164" s="49">
        <f t="shared" si="37"/>
        <v>1030.8207807598301</v>
      </c>
      <c r="G164" s="50">
        <v>1.5</v>
      </c>
      <c r="H164" s="51">
        <f t="shared" si="38"/>
        <v>67.967184181271222</v>
      </c>
      <c r="I164" s="50">
        <f t="shared" si="39"/>
        <v>77.92</v>
      </c>
      <c r="J164" s="52">
        <f t="shared" si="40"/>
        <v>1.1412792651772492</v>
      </c>
    </row>
    <row r="165" spans="1:10" ht="24.95" customHeight="1" x14ac:dyDescent="0.25">
      <c r="A165" s="48">
        <f t="shared" si="41"/>
        <v>154</v>
      </c>
      <c r="B165" s="48" t="s">
        <v>603</v>
      </c>
      <c r="C165" s="48" t="s">
        <v>558</v>
      </c>
      <c r="D165" s="48" t="str">
        <f>INPUT_DATA!A146</f>
        <v>F5.1</v>
      </c>
      <c r="E165" s="49">
        <f t="shared" si="36"/>
        <v>0.56100000000000005</v>
      </c>
      <c r="F165" s="49">
        <f t="shared" si="37"/>
        <v>1030.8207807598301</v>
      </c>
      <c r="G165" s="50">
        <v>2</v>
      </c>
      <c r="H165" s="51">
        <f t="shared" si="38"/>
        <v>18.613579973095273</v>
      </c>
      <c r="I165" s="50">
        <f t="shared" si="39"/>
        <v>26.64</v>
      </c>
      <c r="J165" s="52">
        <f t="shared" si="40"/>
        <v>0.97638561820495462</v>
      </c>
    </row>
    <row r="166" spans="1:10" ht="24.95" customHeight="1" x14ac:dyDescent="0.25">
      <c r="A166" s="48">
        <f t="shared" si="41"/>
        <v>155</v>
      </c>
      <c r="B166" s="48" t="s">
        <v>604</v>
      </c>
      <c r="C166" s="48" t="s">
        <v>558</v>
      </c>
      <c r="D166" s="48" t="str">
        <f>INPUT_DATA!A147</f>
        <v>F5.2</v>
      </c>
      <c r="E166" s="49">
        <f t="shared" si="36"/>
        <v>0.56100000000000005</v>
      </c>
      <c r="F166" s="49">
        <f t="shared" si="37"/>
        <v>1030.8207807598301</v>
      </c>
      <c r="G166" s="50">
        <v>2</v>
      </c>
      <c r="H166" s="51">
        <f t="shared" si="38"/>
        <v>18.613579973095273</v>
      </c>
      <c r="I166" s="50">
        <f t="shared" si="39"/>
        <v>26.64</v>
      </c>
      <c r="J166" s="52">
        <f t="shared" si="40"/>
        <v>0.97638561820495462</v>
      </c>
    </row>
    <row r="167" spans="1:10" ht="24.95" customHeight="1" x14ac:dyDescent="0.25">
      <c r="A167" s="48">
        <f t="shared" si="41"/>
        <v>156</v>
      </c>
      <c r="B167" s="48" t="s">
        <v>605</v>
      </c>
      <c r="C167" s="48" t="s">
        <v>558</v>
      </c>
      <c r="D167" s="48" t="str">
        <f>INPUT_DATA!A148</f>
        <v>F5.3</v>
      </c>
      <c r="E167" s="49">
        <f t="shared" si="36"/>
        <v>0.56100000000000005</v>
      </c>
      <c r="F167" s="49">
        <f t="shared" si="37"/>
        <v>1030.8207807598301</v>
      </c>
      <c r="G167" s="50">
        <v>2</v>
      </c>
      <c r="H167" s="51">
        <f t="shared" si="38"/>
        <v>18.613579973095273</v>
      </c>
      <c r="I167" s="50">
        <f t="shared" si="39"/>
        <v>26.64</v>
      </c>
      <c r="J167" s="52">
        <f t="shared" si="40"/>
        <v>0.97638561820495462</v>
      </c>
    </row>
    <row r="168" spans="1:10" ht="24.95" customHeight="1" x14ac:dyDescent="0.25">
      <c r="A168" s="48">
        <f t="shared" si="41"/>
        <v>157</v>
      </c>
      <c r="B168" s="48" t="s">
        <v>606</v>
      </c>
      <c r="C168" s="48" t="s">
        <v>558</v>
      </c>
      <c r="D168" s="48" t="str">
        <f>INPUT_DATA!A149</f>
        <v>F5.4</v>
      </c>
      <c r="E168" s="49">
        <f t="shared" si="36"/>
        <v>0.56100000000000005</v>
      </c>
      <c r="F168" s="49">
        <f t="shared" si="37"/>
        <v>1030.8207807598301</v>
      </c>
      <c r="G168" s="50">
        <v>2</v>
      </c>
      <c r="H168" s="51">
        <f t="shared" si="38"/>
        <v>18.613579973095273</v>
      </c>
      <c r="I168" s="50">
        <f t="shared" si="39"/>
        <v>26.64</v>
      </c>
      <c r="J168" s="52">
        <f t="shared" si="40"/>
        <v>0.97638561820495462</v>
      </c>
    </row>
    <row r="169" spans="1:10" ht="24.95" customHeight="1" x14ac:dyDescent="0.25">
      <c r="A169" s="48">
        <f t="shared" si="41"/>
        <v>158</v>
      </c>
      <c r="B169" s="48" t="s">
        <v>607</v>
      </c>
      <c r="C169" s="48" t="s">
        <v>558</v>
      </c>
      <c r="D169" s="48" t="str">
        <f>INPUT_DATA!A150</f>
        <v>F5.5</v>
      </c>
      <c r="E169" s="49">
        <f t="shared" si="36"/>
        <v>0.56100000000000005</v>
      </c>
      <c r="F169" s="49">
        <f t="shared" si="37"/>
        <v>1030.8207807598301</v>
      </c>
      <c r="G169" s="50">
        <v>2</v>
      </c>
      <c r="H169" s="51">
        <f t="shared" si="38"/>
        <v>18.613579973095273</v>
      </c>
      <c r="I169" s="50">
        <f t="shared" si="39"/>
        <v>26.64</v>
      </c>
      <c r="J169" s="52">
        <f t="shared" si="40"/>
        <v>0.97638561820495462</v>
      </c>
    </row>
    <row r="170" spans="1:10" ht="24.95" customHeight="1" x14ac:dyDescent="0.25">
      <c r="A170" s="48">
        <f t="shared" si="41"/>
        <v>159</v>
      </c>
      <c r="B170" s="48" t="s">
        <v>608</v>
      </c>
      <c r="C170" s="48" t="s">
        <v>558</v>
      </c>
      <c r="D170" s="48" t="str">
        <f>INPUT_DATA!A151</f>
        <v>F5.6</v>
      </c>
      <c r="E170" s="49">
        <f t="shared" si="36"/>
        <v>0.56100000000000005</v>
      </c>
      <c r="F170" s="49">
        <f t="shared" si="37"/>
        <v>1030.8207807598301</v>
      </c>
      <c r="G170" s="50">
        <v>2</v>
      </c>
      <c r="H170" s="51">
        <f t="shared" si="38"/>
        <v>18.613579973095273</v>
      </c>
      <c r="I170" s="50">
        <f t="shared" si="39"/>
        <v>26.64</v>
      </c>
      <c r="J170" s="52">
        <f t="shared" si="40"/>
        <v>0.97638561820495462</v>
      </c>
    </row>
    <row r="171" spans="1:10" ht="24.95" customHeight="1" x14ac:dyDescent="0.25">
      <c r="A171" s="48">
        <f t="shared" si="41"/>
        <v>160</v>
      </c>
      <c r="B171" s="48" t="s">
        <v>609</v>
      </c>
      <c r="C171" s="48" t="s">
        <v>558</v>
      </c>
      <c r="D171" s="48" t="str">
        <f>INPUT_DATA!A152</f>
        <v>F5.7</v>
      </c>
      <c r="E171" s="49">
        <f t="shared" si="36"/>
        <v>0.56100000000000005</v>
      </c>
      <c r="F171" s="49">
        <f t="shared" si="37"/>
        <v>1030.8207807598301</v>
      </c>
      <c r="G171" s="50">
        <v>2</v>
      </c>
      <c r="H171" s="51">
        <f t="shared" si="38"/>
        <v>18.613579973095273</v>
      </c>
      <c r="I171" s="50">
        <f t="shared" si="39"/>
        <v>26.64</v>
      </c>
      <c r="J171" s="52">
        <f t="shared" si="40"/>
        <v>0.97638561820495462</v>
      </c>
    </row>
    <row r="172" spans="1:10" ht="24.95" customHeight="1" x14ac:dyDescent="0.25">
      <c r="A172" s="48">
        <f t="shared" si="41"/>
        <v>161</v>
      </c>
      <c r="B172" s="48" t="s">
        <v>610</v>
      </c>
      <c r="C172" s="48" t="s">
        <v>558</v>
      </c>
      <c r="D172" s="48" t="str">
        <f>INPUT_DATA!A153</f>
        <v>F5.8</v>
      </c>
      <c r="E172" s="49">
        <f t="shared" si="36"/>
        <v>0.56100000000000005</v>
      </c>
      <c r="F172" s="49">
        <f t="shared" si="37"/>
        <v>1030.8207807598301</v>
      </c>
      <c r="G172" s="50">
        <v>2</v>
      </c>
      <c r="H172" s="51">
        <f t="shared" si="38"/>
        <v>18.613579973095273</v>
      </c>
      <c r="I172" s="50">
        <f t="shared" si="39"/>
        <v>26.64</v>
      </c>
      <c r="J172" s="52">
        <f t="shared" si="40"/>
        <v>0.97638561820495462</v>
      </c>
    </row>
    <row r="173" spans="1:10" ht="24.95" customHeight="1" x14ac:dyDescent="0.25">
      <c r="A173" s="48">
        <f t="shared" si="41"/>
        <v>162</v>
      </c>
      <c r="B173" s="48" t="s">
        <v>611</v>
      </c>
      <c r="C173" s="48" t="s">
        <v>558</v>
      </c>
      <c r="D173" s="48" t="str">
        <f>INPUT_DATA!A154</f>
        <v>F5.9</v>
      </c>
      <c r="E173" s="49">
        <f t="shared" si="36"/>
        <v>0.56100000000000005</v>
      </c>
      <c r="F173" s="49">
        <f t="shared" si="37"/>
        <v>1030.8207807598301</v>
      </c>
      <c r="G173" s="50">
        <v>2</v>
      </c>
      <c r="H173" s="51">
        <f t="shared" si="38"/>
        <v>18.613579973095273</v>
      </c>
      <c r="I173" s="50">
        <f t="shared" si="39"/>
        <v>26.64</v>
      </c>
      <c r="J173" s="52">
        <f t="shared" si="40"/>
        <v>0.97638561820495462</v>
      </c>
    </row>
    <row r="174" spans="1:10" ht="24.95" customHeight="1" x14ac:dyDescent="0.25">
      <c r="A174" s="48">
        <f t="shared" si="41"/>
        <v>163</v>
      </c>
      <c r="B174" s="48" t="s">
        <v>612</v>
      </c>
      <c r="C174" s="48" t="s">
        <v>558</v>
      </c>
      <c r="D174" s="48" t="str">
        <f>INPUT_DATA!A155</f>
        <v>F5.10</v>
      </c>
      <c r="E174" s="49">
        <f t="shared" si="36"/>
        <v>0.56100000000000005</v>
      </c>
      <c r="F174" s="49">
        <f t="shared" si="37"/>
        <v>1030.8207807598301</v>
      </c>
      <c r="G174" s="50">
        <v>2</v>
      </c>
      <c r="H174" s="51">
        <f t="shared" si="38"/>
        <v>18.613579973095273</v>
      </c>
      <c r="I174" s="50">
        <f t="shared" si="39"/>
        <v>26.64</v>
      </c>
      <c r="J174" s="52">
        <f t="shared" si="40"/>
        <v>0.97638561820495462</v>
      </c>
    </row>
    <row r="175" spans="1:10" ht="24.95" customHeight="1" x14ac:dyDescent="0.25">
      <c r="A175" s="48">
        <f t="shared" si="41"/>
        <v>164</v>
      </c>
      <c r="B175" s="48" t="s">
        <v>613</v>
      </c>
      <c r="C175" s="48" t="s">
        <v>558</v>
      </c>
      <c r="D175" s="48" t="str">
        <f>INPUT_DATA!A156</f>
        <v>F6</v>
      </c>
      <c r="E175" s="49">
        <f t="shared" si="36"/>
        <v>5.61</v>
      </c>
      <c r="F175" s="49">
        <f t="shared" si="37"/>
        <v>1030.8207807598301</v>
      </c>
      <c r="G175" s="50">
        <v>1.5</v>
      </c>
      <c r="H175" s="51">
        <f t="shared" si="38"/>
        <v>67.967184181271222</v>
      </c>
      <c r="I175" s="50">
        <f t="shared" si="39"/>
        <v>77.92</v>
      </c>
      <c r="J175" s="52">
        <f t="shared" si="40"/>
        <v>1.1412792651772492</v>
      </c>
    </row>
    <row r="176" spans="1:10" ht="24.95" customHeight="1" x14ac:dyDescent="0.25">
      <c r="A176" s="48">
        <f t="shared" si="41"/>
        <v>165</v>
      </c>
      <c r="B176" s="48" t="s">
        <v>614</v>
      </c>
      <c r="C176" s="48" t="s">
        <v>558</v>
      </c>
      <c r="D176" s="48" t="str">
        <f>INPUT_DATA!A157</f>
        <v>F6.1</v>
      </c>
      <c r="E176" s="49">
        <f t="shared" si="36"/>
        <v>0.56100000000000005</v>
      </c>
      <c r="F176" s="49">
        <f t="shared" si="37"/>
        <v>1030.8207807598301</v>
      </c>
      <c r="G176" s="50">
        <v>2</v>
      </c>
      <c r="H176" s="51">
        <f t="shared" si="38"/>
        <v>18.613579973095273</v>
      </c>
      <c r="I176" s="50">
        <f t="shared" si="39"/>
        <v>26.64</v>
      </c>
      <c r="J176" s="52">
        <f t="shared" si="40"/>
        <v>0.97638561820495462</v>
      </c>
    </row>
    <row r="177" spans="1:10" ht="24.95" customHeight="1" x14ac:dyDescent="0.25">
      <c r="A177" s="48">
        <f t="shared" si="41"/>
        <v>166</v>
      </c>
      <c r="B177" s="48" t="s">
        <v>615</v>
      </c>
      <c r="C177" s="48" t="s">
        <v>558</v>
      </c>
      <c r="D177" s="48" t="str">
        <f>INPUT_DATA!A158</f>
        <v>F6.2</v>
      </c>
      <c r="E177" s="49">
        <f t="shared" si="36"/>
        <v>0.56100000000000005</v>
      </c>
      <c r="F177" s="49">
        <f t="shared" si="37"/>
        <v>1030.8207807598301</v>
      </c>
      <c r="G177" s="50">
        <v>2</v>
      </c>
      <c r="H177" s="51">
        <f t="shared" si="38"/>
        <v>18.613579973095273</v>
      </c>
      <c r="I177" s="50">
        <f t="shared" si="39"/>
        <v>26.64</v>
      </c>
      <c r="J177" s="52">
        <f t="shared" si="40"/>
        <v>0.97638561820495462</v>
      </c>
    </row>
    <row r="178" spans="1:10" ht="24.95" customHeight="1" x14ac:dyDescent="0.25">
      <c r="A178" s="48">
        <f t="shared" si="41"/>
        <v>167</v>
      </c>
      <c r="B178" s="48" t="s">
        <v>616</v>
      </c>
      <c r="C178" s="48" t="s">
        <v>558</v>
      </c>
      <c r="D178" s="48" t="str">
        <f>INPUT_DATA!A159</f>
        <v>F6.3</v>
      </c>
      <c r="E178" s="49">
        <f t="shared" si="36"/>
        <v>0.56100000000000005</v>
      </c>
      <c r="F178" s="49">
        <f t="shared" si="37"/>
        <v>1030.8207807598301</v>
      </c>
      <c r="G178" s="50">
        <v>2</v>
      </c>
      <c r="H178" s="51">
        <f t="shared" si="38"/>
        <v>18.613579973095273</v>
      </c>
      <c r="I178" s="50">
        <f t="shared" si="39"/>
        <v>26.64</v>
      </c>
      <c r="J178" s="52">
        <f t="shared" si="40"/>
        <v>0.97638561820495462</v>
      </c>
    </row>
    <row r="179" spans="1:10" ht="24.95" customHeight="1" x14ac:dyDescent="0.25">
      <c r="A179" s="48">
        <f t="shared" si="41"/>
        <v>168</v>
      </c>
      <c r="B179" s="48" t="s">
        <v>617</v>
      </c>
      <c r="C179" s="48" t="s">
        <v>558</v>
      </c>
      <c r="D179" s="48" t="str">
        <f>INPUT_DATA!A160</f>
        <v>F6.4</v>
      </c>
      <c r="E179" s="49">
        <f t="shared" si="36"/>
        <v>0.56100000000000005</v>
      </c>
      <c r="F179" s="49">
        <f t="shared" si="37"/>
        <v>1030.8207807598301</v>
      </c>
      <c r="G179" s="50">
        <v>2</v>
      </c>
      <c r="H179" s="51">
        <f t="shared" si="38"/>
        <v>18.613579973095273</v>
      </c>
      <c r="I179" s="50">
        <f t="shared" si="39"/>
        <v>26.64</v>
      </c>
      <c r="J179" s="52">
        <f t="shared" si="40"/>
        <v>0.97638561820495462</v>
      </c>
    </row>
    <row r="180" spans="1:10" ht="24.95" customHeight="1" x14ac:dyDescent="0.25">
      <c r="A180" s="48">
        <f t="shared" si="41"/>
        <v>169</v>
      </c>
      <c r="B180" s="48" t="s">
        <v>618</v>
      </c>
      <c r="C180" s="48" t="s">
        <v>558</v>
      </c>
      <c r="D180" s="48" t="str">
        <f>INPUT_DATA!A161</f>
        <v>F6.5</v>
      </c>
      <c r="E180" s="49">
        <f t="shared" si="36"/>
        <v>0.56100000000000005</v>
      </c>
      <c r="F180" s="49">
        <f t="shared" si="37"/>
        <v>1030.8207807598301</v>
      </c>
      <c r="G180" s="50">
        <v>2</v>
      </c>
      <c r="H180" s="51">
        <f t="shared" si="38"/>
        <v>18.613579973095273</v>
      </c>
      <c r="I180" s="50">
        <f t="shared" si="39"/>
        <v>26.64</v>
      </c>
      <c r="J180" s="52">
        <f t="shared" si="40"/>
        <v>0.97638561820495462</v>
      </c>
    </row>
    <row r="181" spans="1:10" ht="24.95" customHeight="1" x14ac:dyDescent="0.25">
      <c r="A181" s="48">
        <f t="shared" si="41"/>
        <v>170</v>
      </c>
      <c r="B181" s="48" t="s">
        <v>619</v>
      </c>
      <c r="C181" s="48" t="s">
        <v>558</v>
      </c>
      <c r="D181" s="48" t="str">
        <f>INPUT_DATA!A162</f>
        <v>F6.6</v>
      </c>
      <c r="E181" s="49">
        <f t="shared" si="36"/>
        <v>0.56100000000000005</v>
      </c>
      <c r="F181" s="49">
        <f t="shared" si="37"/>
        <v>1030.8207807598301</v>
      </c>
      <c r="G181" s="50">
        <v>2</v>
      </c>
      <c r="H181" s="51">
        <f t="shared" si="38"/>
        <v>18.613579973095273</v>
      </c>
      <c r="I181" s="50">
        <f t="shared" si="39"/>
        <v>26.64</v>
      </c>
      <c r="J181" s="52">
        <f t="shared" si="40"/>
        <v>0.97638561820495462</v>
      </c>
    </row>
    <row r="182" spans="1:10" ht="24.95" customHeight="1" x14ac:dyDescent="0.25">
      <c r="A182" s="48">
        <f t="shared" si="41"/>
        <v>171</v>
      </c>
      <c r="B182" s="48" t="s">
        <v>620</v>
      </c>
      <c r="C182" s="48" t="s">
        <v>558</v>
      </c>
      <c r="D182" s="48" t="str">
        <f>INPUT_DATA!A163</f>
        <v>F6.7</v>
      </c>
      <c r="E182" s="49">
        <f t="shared" si="36"/>
        <v>0.56100000000000005</v>
      </c>
      <c r="F182" s="49">
        <f t="shared" si="37"/>
        <v>1030.8207807598301</v>
      </c>
      <c r="G182" s="50">
        <v>2</v>
      </c>
      <c r="H182" s="51">
        <f t="shared" si="38"/>
        <v>18.613579973095273</v>
      </c>
      <c r="I182" s="50">
        <f t="shared" si="39"/>
        <v>26.64</v>
      </c>
      <c r="J182" s="52">
        <f t="shared" si="40"/>
        <v>0.97638561820495462</v>
      </c>
    </row>
    <row r="183" spans="1:10" ht="24.95" customHeight="1" x14ac:dyDescent="0.25">
      <c r="A183" s="48">
        <f t="shared" si="41"/>
        <v>172</v>
      </c>
      <c r="B183" s="48" t="s">
        <v>621</v>
      </c>
      <c r="C183" s="48" t="s">
        <v>558</v>
      </c>
      <c r="D183" s="48" t="str">
        <f>INPUT_DATA!A164</f>
        <v>F6.8</v>
      </c>
      <c r="E183" s="49">
        <f t="shared" si="36"/>
        <v>0.56100000000000005</v>
      </c>
      <c r="F183" s="49">
        <f t="shared" si="37"/>
        <v>1030.8207807598301</v>
      </c>
      <c r="G183" s="50">
        <v>2</v>
      </c>
      <c r="H183" s="51">
        <f t="shared" si="38"/>
        <v>18.613579973095273</v>
      </c>
      <c r="I183" s="50">
        <f t="shared" si="39"/>
        <v>26.64</v>
      </c>
      <c r="J183" s="52">
        <f t="shared" si="40"/>
        <v>0.97638561820495462</v>
      </c>
    </row>
    <row r="184" spans="1:10" ht="24.95" customHeight="1" x14ac:dyDescent="0.25">
      <c r="A184" s="48">
        <f t="shared" si="41"/>
        <v>173</v>
      </c>
      <c r="B184" s="48" t="s">
        <v>622</v>
      </c>
      <c r="C184" s="48" t="s">
        <v>558</v>
      </c>
      <c r="D184" s="48" t="str">
        <f>INPUT_DATA!A165</f>
        <v>F6.9</v>
      </c>
      <c r="E184" s="49">
        <f t="shared" ref="E184:E215" si="42">IFERROR(INDEX(FlowRates_kgs,MATCH(D184,LineTags,0)),"")</f>
        <v>0.56100000000000005</v>
      </c>
      <c r="F184" s="49">
        <f t="shared" ref="F184:F214" si="43">IFERROR(INDEX(Densities,MATCH(D184,LineTags,0)),"")</f>
        <v>1030.8207807598301</v>
      </c>
      <c r="G184" s="50">
        <v>2</v>
      </c>
      <c r="H184" s="51">
        <f t="shared" ref="H184:H215" si="44">IFERROR(SQRT((4*E184)/(PI()*F184*G184))*1000,"")</f>
        <v>18.613579973095273</v>
      </c>
      <c r="I184" s="50">
        <f t="shared" ref="I184:I215" si="45">IFERROR(VLOOKUP(ROUNDUP(H184,-1),PipeReference,2,TRUE),"Check Size")</f>
        <v>26.64</v>
      </c>
      <c r="J184" s="52">
        <f t="shared" ref="J184:J215" si="46">IFERROR((4*E184)/(PI()*F184*(I184/1000)^2),"")</f>
        <v>0.97638561820495462</v>
      </c>
    </row>
    <row r="185" spans="1:10" ht="24.95" customHeight="1" x14ac:dyDescent="0.25">
      <c r="A185" s="48">
        <f t="shared" ref="A185:A214" si="47">A184+1</f>
        <v>174</v>
      </c>
      <c r="B185" s="48" t="s">
        <v>623</v>
      </c>
      <c r="C185" s="48" t="s">
        <v>558</v>
      </c>
      <c r="D185" s="48" t="str">
        <f>INPUT_DATA!A166</f>
        <v>F6.10</v>
      </c>
      <c r="E185" s="49">
        <f t="shared" si="42"/>
        <v>0.56100000000000005</v>
      </c>
      <c r="F185" s="49">
        <f t="shared" si="43"/>
        <v>1030.8207807598301</v>
      </c>
      <c r="G185" s="50">
        <v>2</v>
      </c>
      <c r="H185" s="51">
        <f t="shared" si="44"/>
        <v>18.613579973095273</v>
      </c>
      <c r="I185" s="50">
        <f t="shared" si="45"/>
        <v>26.64</v>
      </c>
      <c r="J185" s="52">
        <f t="shared" si="46"/>
        <v>0.97638561820495462</v>
      </c>
    </row>
    <row r="186" spans="1:10" ht="24.95" customHeight="1" x14ac:dyDescent="0.25">
      <c r="A186" s="48">
        <f t="shared" si="47"/>
        <v>175</v>
      </c>
      <c r="B186" s="48" t="s">
        <v>624</v>
      </c>
      <c r="C186" s="48" t="s">
        <v>558</v>
      </c>
      <c r="D186" s="48" t="str">
        <f>INPUT_DATA!A167</f>
        <v>F7</v>
      </c>
      <c r="E186" s="49">
        <f t="shared" si="42"/>
        <v>5.8266666666666662</v>
      </c>
      <c r="F186" s="49">
        <f t="shared" si="43"/>
        <v>1030.7581538188001</v>
      </c>
      <c r="G186" s="50">
        <v>1.5</v>
      </c>
      <c r="H186" s="51">
        <f t="shared" si="44"/>
        <v>69.269352345579293</v>
      </c>
      <c r="I186" s="50">
        <f t="shared" si="45"/>
        <v>77.92</v>
      </c>
      <c r="J186" s="52">
        <f t="shared" si="46"/>
        <v>1.1854292129181907</v>
      </c>
    </row>
    <row r="187" spans="1:10" ht="24.95" customHeight="1" x14ac:dyDescent="0.25">
      <c r="A187" s="48">
        <f t="shared" si="47"/>
        <v>176</v>
      </c>
      <c r="B187" s="48" t="s">
        <v>625</v>
      </c>
      <c r="C187" s="48" t="s">
        <v>558</v>
      </c>
      <c r="D187" s="48" t="str">
        <f>INPUT_DATA!A168</f>
        <v>F7.1</v>
      </c>
      <c r="E187" s="49">
        <f t="shared" si="42"/>
        <v>0.58266666666666667</v>
      </c>
      <c r="F187" s="49">
        <f t="shared" si="43"/>
        <v>1030.7581538188001</v>
      </c>
      <c r="G187" s="50">
        <v>2</v>
      </c>
      <c r="H187" s="51">
        <f t="shared" si="44"/>
        <v>18.970193411723585</v>
      </c>
      <c r="I187" s="50">
        <f t="shared" si="45"/>
        <v>26.64</v>
      </c>
      <c r="J187" s="52">
        <f t="shared" si="46"/>
        <v>1.014156718875973</v>
      </c>
    </row>
    <row r="188" spans="1:10" ht="24.95" customHeight="1" x14ac:dyDescent="0.25">
      <c r="A188" s="48">
        <f t="shared" si="47"/>
        <v>177</v>
      </c>
      <c r="B188" s="48" t="s">
        <v>626</v>
      </c>
      <c r="C188" s="48" t="s">
        <v>558</v>
      </c>
      <c r="D188" s="48" t="str">
        <f>INPUT_DATA!A169</f>
        <v>F7.2</v>
      </c>
      <c r="E188" s="49">
        <f t="shared" si="42"/>
        <v>0.58266666666666667</v>
      </c>
      <c r="F188" s="49">
        <f t="shared" si="43"/>
        <v>1030.7581538188001</v>
      </c>
      <c r="G188" s="50">
        <v>2</v>
      </c>
      <c r="H188" s="51">
        <f t="shared" si="44"/>
        <v>18.970193411723585</v>
      </c>
      <c r="I188" s="50">
        <f t="shared" si="45"/>
        <v>26.64</v>
      </c>
      <c r="J188" s="52">
        <f t="shared" si="46"/>
        <v>1.014156718875973</v>
      </c>
    </row>
    <row r="189" spans="1:10" ht="24.95" customHeight="1" x14ac:dyDescent="0.25">
      <c r="A189" s="48">
        <f t="shared" si="47"/>
        <v>178</v>
      </c>
      <c r="B189" s="48" t="s">
        <v>627</v>
      </c>
      <c r="C189" s="48" t="s">
        <v>558</v>
      </c>
      <c r="D189" s="48" t="str">
        <f>INPUT_DATA!A170</f>
        <v>F7.3</v>
      </c>
      <c r="E189" s="49">
        <f t="shared" si="42"/>
        <v>0.58266666666666667</v>
      </c>
      <c r="F189" s="49">
        <f t="shared" si="43"/>
        <v>1030.7581538188001</v>
      </c>
      <c r="G189" s="50">
        <v>2</v>
      </c>
      <c r="H189" s="51">
        <f t="shared" si="44"/>
        <v>18.970193411723585</v>
      </c>
      <c r="I189" s="50">
        <f t="shared" si="45"/>
        <v>26.64</v>
      </c>
      <c r="J189" s="52">
        <f t="shared" si="46"/>
        <v>1.014156718875973</v>
      </c>
    </row>
    <row r="190" spans="1:10" ht="24.95" customHeight="1" x14ac:dyDescent="0.25">
      <c r="A190" s="48">
        <f t="shared" si="47"/>
        <v>179</v>
      </c>
      <c r="B190" s="48" t="s">
        <v>628</v>
      </c>
      <c r="C190" s="48" t="s">
        <v>558</v>
      </c>
      <c r="D190" s="48" t="str">
        <f>INPUT_DATA!A171</f>
        <v>F7.4</v>
      </c>
      <c r="E190" s="49">
        <f t="shared" si="42"/>
        <v>0.58266666666666667</v>
      </c>
      <c r="F190" s="49">
        <f t="shared" si="43"/>
        <v>1030.7581538188001</v>
      </c>
      <c r="G190" s="50">
        <v>2</v>
      </c>
      <c r="H190" s="51">
        <f t="shared" si="44"/>
        <v>18.970193411723585</v>
      </c>
      <c r="I190" s="50">
        <f t="shared" si="45"/>
        <v>26.64</v>
      </c>
      <c r="J190" s="52">
        <f t="shared" si="46"/>
        <v>1.014156718875973</v>
      </c>
    </row>
    <row r="191" spans="1:10" ht="24.95" customHeight="1" x14ac:dyDescent="0.25">
      <c r="A191" s="48">
        <f t="shared" si="47"/>
        <v>180</v>
      </c>
      <c r="B191" s="48" t="s">
        <v>629</v>
      </c>
      <c r="C191" s="48" t="s">
        <v>558</v>
      </c>
      <c r="D191" s="48" t="str">
        <f>INPUT_DATA!A172</f>
        <v>F7.5</v>
      </c>
      <c r="E191" s="49">
        <f t="shared" si="42"/>
        <v>0.58266666666666667</v>
      </c>
      <c r="F191" s="49">
        <f t="shared" si="43"/>
        <v>1030.7581538188001</v>
      </c>
      <c r="G191" s="50">
        <v>2</v>
      </c>
      <c r="H191" s="51">
        <f t="shared" si="44"/>
        <v>18.970193411723585</v>
      </c>
      <c r="I191" s="50">
        <f t="shared" si="45"/>
        <v>26.64</v>
      </c>
      <c r="J191" s="52">
        <f t="shared" si="46"/>
        <v>1.014156718875973</v>
      </c>
    </row>
    <row r="192" spans="1:10" ht="24.95" customHeight="1" x14ac:dyDescent="0.25">
      <c r="A192" s="48">
        <f t="shared" si="47"/>
        <v>181</v>
      </c>
      <c r="B192" s="48" t="s">
        <v>630</v>
      </c>
      <c r="C192" s="48" t="s">
        <v>558</v>
      </c>
      <c r="D192" s="48" t="str">
        <f>INPUT_DATA!A173</f>
        <v>F7.6</v>
      </c>
      <c r="E192" s="49">
        <f t="shared" si="42"/>
        <v>0.58266666666666667</v>
      </c>
      <c r="F192" s="49">
        <f t="shared" si="43"/>
        <v>1030.7581538188001</v>
      </c>
      <c r="G192" s="50">
        <v>2</v>
      </c>
      <c r="H192" s="51">
        <f t="shared" si="44"/>
        <v>18.970193411723585</v>
      </c>
      <c r="I192" s="50">
        <f t="shared" si="45"/>
        <v>26.64</v>
      </c>
      <c r="J192" s="52">
        <f t="shared" si="46"/>
        <v>1.014156718875973</v>
      </c>
    </row>
    <row r="193" spans="1:10" ht="24.95" customHeight="1" x14ac:dyDescent="0.25">
      <c r="A193" s="48">
        <f t="shared" si="47"/>
        <v>182</v>
      </c>
      <c r="B193" s="48" t="s">
        <v>631</v>
      </c>
      <c r="C193" s="48" t="s">
        <v>558</v>
      </c>
      <c r="D193" s="48" t="str">
        <f>INPUT_DATA!A174</f>
        <v>F7.7</v>
      </c>
      <c r="E193" s="49">
        <f t="shared" si="42"/>
        <v>0.58266666666666667</v>
      </c>
      <c r="F193" s="49">
        <f t="shared" si="43"/>
        <v>1030.7581538188001</v>
      </c>
      <c r="G193" s="50">
        <v>2</v>
      </c>
      <c r="H193" s="51">
        <f t="shared" si="44"/>
        <v>18.970193411723585</v>
      </c>
      <c r="I193" s="50">
        <f t="shared" si="45"/>
        <v>26.64</v>
      </c>
      <c r="J193" s="52">
        <f t="shared" si="46"/>
        <v>1.014156718875973</v>
      </c>
    </row>
    <row r="194" spans="1:10" ht="24.95" customHeight="1" x14ac:dyDescent="0.25">
      <c r="A194" s="48">
        <f t="shared" si="47"/>
        <v>183</v>
      </c>
      <c r="B194" s="48" t="s">
        <v>632</v>
      </c>
      <c r="C194" s="48" t="s">
        <v>558</v>
      </c>
      <c r="D194" s="48" t="str">
        <f>INPUT_DATA!A175</f>
        <v>F7.8</v>
      </c>
      <c r="E194" s="49">
        <f t="shared" si="42"/>
        <v>0.58266666666666667</v>
      </c>
      <c r="F194" s="49">
        <f t="shared" si="43"/>
        <v>1030.7581538188001</v>
      </c>
      <c r="G194" s="50">
        <v>2</v>
      </c>
      <c r="H194" s="51">
        <f t="shared" si="44"/>
        <v>18.970193411723585</v>
      </c>
      <c r="I194" s="50">
        <f t="shared" si="45"/>
        <v>26.64</v>
      </c>
      <c r="J194" s="52">
        <f t="shared" si="46"/>
        <v>1.014156718875973</v>
      </c>
    </row>
    <row r="195" spans="1:10" ht="24.95" customHeight="1" x14ac:dyDescent="0.25">
      <c r="A195" s="48">
        <f t="shared" si="47"/>
        <v>184</v>
      </c>
      <c r="B195" s="48" t="s">
        <v>633</v>
      </c>
      <c r="C195" s="48" t="s">
        <v>558</v>
      </c>
      <c r="D195" s="48" t="str">
        <f>INPUT_DATA!A176</f>
        <v>F7.9</v>
      </c>
      <c r="E195" s="49">
        <f t="shared" si="42"/>
        <v>0.58266666666666667</v>
      </c>
      <c r="F195" s="49">
        <f t="shared" si="43"/>
        <v>1030.7581538188001</v>
      </c>
      <c r="G195" s="50">
        <v>2</v>
      </c>
      <c r="H195" s="51">
        <f t="shared" si="44"/>
        <v>18.970193411723585</v>
      </c>
      <c r="I195" s="50">
        <f t="shared" si="45"/>
        <v>26.64</v>
      </c>
      <c r="J195" s="52">
        <f t="shared" si="46"/>
        <v>1.014156718875973</v>
      </c>
    </row>
    <row r="196" spans="1:10" ht="24.95" customHeight="1" x14ac:dyDescent="0.25">
      <c r="A196" s="48">
        <f t="shared" si="47"/>
        <v>185</v>
      </c>
      <c r="B196" s="48" t="s">
        <v>634</v>
      </c>
      <c r="C196" s="48" t="s">
        <v>558</v>
      </c>
      <c r="D196" s="48" t="str">
        <f>INPUT_DATA!A177</f>
        <v>F7.10</v>
      </c>
      <c r="E196" s="49">
        <f t="shared" si="42"/>
        <v>0.58266666666666667</v>
      </c>
      <c r="F196" s="49">
        <f t="shared" si="43"/>
        <v>1030.7581538188001</v>
      </c>
      <c r="G196" s="50">
        <v>2</v>
      </c>
      <c r="H196" s="51">
        <f t="shared" si="44"/>
        <v>18.970193411723585</v>
      </c>
      <c r="I196" s="50">
        <f t="shared" si="45"/>
        <v>26.64</v>
      </c>
      <c r="J196" s="52">
        <f t="shared" si="46"/>
        <v>1.014156718875973</v>
      </c>
    </row>
    <row r="197" spans="1:10" ht="24.95" customHeight="1" x14ac:dyDescent="0.25">
      <c r="A197" s="48">
        <f t="shared" si="47"/>
        <v>186</v>
      </c>
      <c r="B197" s="48" t="s">
        <v>635</v>
      </c>
      <c r="C197" s="48" t="s">
        <v>558</v>
      </c>
      <c r="D197" s="48" t="str">
        <f>INPUT_DATA!A178</f>
        <v>F8</v>
      </c>
      <c r="E197" s="49">
        <f t="shared" si="42"/>
        <v>5.8266666666666662</v>
      </c>
      <c r="F197" s="49">
        <f t="shared" si="43"/>
        <v>1030.7581538188001</v>
      </c>
      <c r="G197" s="50">
        <v>1.5</v>
      </c>
      <c r="H197" s="51">
        <f t="shared" si="44"/>
        <v>69.269352345579293</v>
      </c>
      <c r="I197" s="50">
        <f t="shared" si="45"/>
        <v>77.92</v>
      </c>
      <c r="J197" s="52">
        <f t="shared" si="46"/>
        <v>1.1854292129181907</v>
      </c>
    </row>
    <row r="198" spans="1:10" ht="24.95" customHeight="1" x14ac:dyDescent="0.25">
      <c r="A198" s="48">
        <f t="shared" si="47"/>
        <v>187</v>
      </c>
      <c r="B198" s="48" t="s">
        <v>636</v>
      </c>
      <c r="C198" s="48" t="s">
        <v>558</v>
      </c>
      <c r="D198" s="48" t="str">
        <f>INPUT_DATA!A179</f>
        <v>F8.1</v>
      </c>
      <c r="E198" s="49">
        <f t="shared" si="42"/>
        <v>0.58266666666666667</v>
      </c>
      <c r="F198" s="49">
        <f t="shared" si="43"/>
        <v>1030.7581538188001</v>
      </c>
      <c r="G198" s="50">
        <v>2</v>
      </c>
      <c r="H198" s="51">
        <f t="shared" si="44"/>
        <v>18.970193411723585</v>
      </c>
      <c r="I198" s="50">
        <f t="shared" si="45"/>
        <v>26.64</v>
      </c>
      <c r="J198" s="52">
        <f t="shared" si="46"/>
        <v>1.014156718875973</v>
      </c>
    </row>
    <row r="199" spans="1:10" ht="24.95" customHeight="1" x14ac:dyDescent="0.25">
      <c r="A199" s="48">
        <f t="shared" si="47"/>
        <v>188</v>
      </c>
      <c r="B199" s="48" t="s">
        <v>637</v>
      </c>
      <c r="C199" s="48" t="s">
        <v>558</v>
      </c>
      <c r="D199" s="48" t="str">
        <f>INPUT_DATA!A180</f>
        <v>F8.2</v>
      </c>
      <c r="E199" s="49">
        <f t="shared" si="42"/>
        <v>0.58266666666666667</v>
      </c>
      <c r="F199" s="49">
        <f t="shared" si="43"/>
        <v>1030.7581538188001</v>
      </c>
      <c r="G199" s="50">
        <v>2</v>
      </c>
      <c r="H199" s="51">
        <f t="shared" si="44"/>
        <v>18.970193411723585</v>
      </c>
      <c r="I199" s="50">
        <f t="shared" si="45"/>
        <v>26.64</v>
      </c>
      <c r="J199" s="52">
        <f t="shared" si="46"/>
        <v>1.014156718875973</v>
      </c>
    </row>
    <row r="200" spans="1:10" ht="24.95" customHeight="1" x14ac:dyDescent="0.25">
      <c r="A200" s="48">
        <f t="shared" si="47"/>
        <v>189</v>
      </c>
      <c r="B200" s="48" t="s">
        <v>638</v>
      </c>
      <c r="C200" s="48" t="s">
        <v>558</v>
      </c>
      <c r="D200" s="48" t="str">
        <f>INPUT_DATA!A181</f>
        <v>F8.3</v>
      </c>
      <c r="E200" s="49">
        <f t="shared" si="42"/>
        <v>0.58266666666666667</v>
      </c>
      <c r="F200" s="49">
        <f t="shared" si="43"/>
        <v>1030.7581538188001</v>
      </c>
      <c r="G200" s="50">
        <v>2</v>
      </c>
      <c r="H200" s="51">
        <f t="shared" si="44"/>
        <v>18.970193411723585</v>
      </c>
      <c r="I200" s="50">
        <f t="shared" si="45"/>
        <v>26.64</v>
      </c>
      <c r="J200" s="52">
        <f t="shared" si="46"/>
        <v>1.014156718875973</v>
      </c>
    </row>
    <row r="201" spans="1:10" ht="24.95" customHeight="1" x14ac:dyDescent="0.25">
      <c r="A201" s="48">
        <f t="shared" si="47"/>
        <v>190</v>
      </c>
      <c r="B201" s="48" t="s">
        <v>639</v>
      </c>
      <c r="C201" s="48" t="s">
        <v>558</v>
      </c>
      <c r="D201" s="48" t="str">
        <f>INPUT_DATA!A182</f>
        <v>F8.4</v>
      </c>
      <c r="E201" s="49">
        <f t="shared" si="42"/>
        <v>0.58266666666666667</v>
      </c>
      <c r="F201" s="49">
        <f t="shared" si="43"/>
        <v>1030.7581538188001</v>
      </c>
      <c r="G201" s="50">
        <v>2</v>
      </c>
      <c r="H201" s="51">
        <f t="shared" si="44"/>
        <v>18.970193411723585</v>
      </c>
      <c r="I201" s="50">
        <f t="shared" si="45"/>
        <v>26.64</v>
      </c>
      <c r="J201" s="52">
        <f t="shared" si="46"/>
        <v>1.014156718875973</v>
      </c>
    </row>
    <row r="202" spans="1:10" ht="24.95" customHeight="1" x14ac:dyDescent="0.25">
      <c r="A202" s="48">
        <f t="shared" si="47"/>
        <v>191</v>
      </c>
      <c r="B202" s="48" t="s">
        <v>640</v>
      </c>
      <c r="C202" s="48" t="s">
        <v>558</v>
      </c>
      <c r="D202" s="48" t="str">
        <f>INPUT_DATA!A183</f>
        <v>F8.5</v>
      </c>
      <c r="E202" s="49">
        <f t="shared" si="42"/>
        <v>0.58266666666666667</v>
      </c>
      <c r="F202" s="49">
        <f t="shared" si="43"/>
        <v>1030.7581538188001</v>
      </c>
      <c r="G202" s="50">
        <v>2</v>
      </c>
      <c r="H202" s="51">
        <f t="shared" si="44"/>
        <v>18.970193411723585</v>
      </c>
      <c r="I202" s="50">
        <f t="shared" si="45"/>
        <v>26.64</v>
      </c>
      <c r="J202" s="52">
        <f t="shared" si="46"/>
        <v>1.014156718875973</v>
      </c>
    </row>
    <row r="203" spans="1:10" ht="24.95" customHeight="1" x14ac:dyDescent="0.25">
      <c r="A203" s="48">
        <f t="shared" si="47"/>
        <v>192</v>
      </c>
      <c r="B203" s="48" t="s">
        <v>641</v>
      </c>
      <c r="C203" s="48" t="s">
        <v>558</v>
      </c>
      <c r="D203" s="48" t="str">
        <f>INPUT_DATA!A184</f>
        <v>F8.6</v>
      </c>
      <c r="E203" s="49">
        <f t="shared" si="42"/>
        <v>0.58266666666666667</v>
      </c>
      <c r="F203" s="49">
        <f t="shared" si="43"/>
        <v>1030.7581538188001</v>
      </c>
      <c r="G203" s="50">
        <v>2</v>
      </c>
      <c r="H203" s="51">
        <f t="shared" si="44"/>
        <v>18.970193411723585</v>
      </c>
      <c r="I203" s="50">
        <f t="shared" si="45"/>
        <v>26.64</v>
      </c>
      <c r="J203" s="52">
        <f t="shared" si="46"/>
        <v>1.014156718875973</v>
      </c>
    </row>
    <row r="204" spans="1:10" ht="24.95" customHeight="1" x14ac:dyDescent="0.25">
      <c r="A204" s="48">
        <f t="shared" si="47"/>
        <v>193</v>
      </c>
      <c r="B204" s="48" t="s">
        <v>642</v>
      </c>
      <c r="C204" s="48" t="s">
        <v>558</v>
      </c>
      <c r="D204" s="48" t="str">
        <f>INPUT_DATA!A185</f>
        <v>F8.7</v>
      </c>
      <c r="E204" s="49">
        <f t="shared" si="42"/>
        <v>0.58266666666666667</v>
      </c>
      <c r="F204" s="49">
        <f t="shared" si="43"/>
        <v>1030.7581538188001</v>
      </c>
      <c r="G204" s="50">
        <v>2</v>
      </c>
      <c r="H204" s="51">
        <f t="shared" si="44"/>
        <v>18.970193411723585</v>
      </c>
      <c r="I204" s="50">
        <f t="shared" si="45"/>
        <v>26.64</v>
      </c>
      <c r="J204" s="52">
        <f t="shared" si="46"/>
        <v>1.014156718875973</v>
      </c>
    </row>
    <row r="205" spans="1:10" ht="24.95" customHeight="1" x14ac:dyDescent="0.25">
      <c r="A205" s="48">
        <f t="shared" si="47"/>
        <v>194</v>
      </c>
      <c r="B205" s="48" t="s">
        <v>643</v>
      </c>
      <c r="C205" s="48" t="s">
        <v>558</v>
      </c>
      <c r="D205" s="48" t="str">
        <f>INPUT_DATA!A186</f>
        <v>F8.8</v>
      </c>
      <c r="E205" s="49">
        <f t="shared" si="42"/>
        <v>0.58266666666666667</v>
      </c>
      <c r="F205" s="49">
        <f t="shared" si="43"/>
        <v>1030.7581538188001</v>
      </c>
      <c r="G205" s="50">
        <v>2</v>
      </c>
      <c r="H205" s="51">
        <f t="shared" si="44"/>
        <v>18.970193411723585</v>
      </c>
      <c r="I205" s="50">
        <f t="shared" si="45"/>
        <v>26.64</v>
      </c>
      <c r="J205" s="52">
        <f t="shared" si="46"/>
        <v>1.014156718875973</v>
      </c>
    </row>
    <row r="206" spans="1:10" ht="24.95" customHeight="1" x14ac:dyDescent="0.25">
      <c r="A206" s="48">
        <f t="shared" si="47"/>
        <v>195</v>
      </c>
      <c r="B206" s="48" t="s">
        <v>644</v>
      </c>
      <c r="C206" s="48" t="s">
        <v>558</v>
      </c>
      <c r="D206" s="48" t="str">
        <f>INPUT_DATA!A187</f>
        <v>F8.9</v>
      </c>
      <c r="E206" s="49">
        <f t="shared" si="42"/>
        <v>0.58266666666666667</v>
      </c>
      <c r="F206" s="49">
        <f t="shared" si="43"/>
        <v>1030.7581538188001</v>
      </c>
      <c r="G206" s="50">
        <v>2</v>
      </c>
      <c r="H206" s="51">
        <f t="shared" si="44"/>
        <v>18.970193411723585</v>
      </c>
      <c r="I206" s="50">
        <f t="shared" si="45"/>
        <v>26.64</v>
      </c>
      <c r="J206" s="52">
        <f t="shared" si="46"/>
        <v>1.014156718875973</v>
      </c>
    </row>
    <row r="207" spans="1:10" ht="24.95" customHeight="1" x14ac:dyDescent="0.25">
      <c r="A207" s="48">
        <f t="shared" si="47"/>
        <v>196</v>
      </c>
      <c r="B207" s="48" t="s">
        <v>645</v>
      </c>
      <c r="C207" s="48" t="s">
        <v>558</v>
      </c>
      <c r="D207" s="48" t="str">
        <f>INPUT_DATA!A188</f>
        <v>F8.10</v>
      </c>
      <c r="E207" s="49">
        <f t="shared" si="42"/>
        <v>0.58266666666666667</v>
      </c>
      <c r="F207" s="49">
        <f t="shared" si="43"/>
        <v>1030.7581538188001</v>
      </c>
      <c r="G207" s="50">
        <v>2</v>
      </c>
      <c r="H207" s="51">
        <f t="shared" si="44"/>
        <v>18.970193411723585</v>
      </c>
      <c r="I207" s="50">
        <f t="shared" si="45"/>
        <v>26.64</v>
      </c>
      <c r="J207" s="52">
        <f t="shared" si="46"/>
        <v>1.014156718875973</v>
      </c>
    </row>
    <row r="208" spans="1:10" ht="24.95" customHeight="1" x14ac:dyDescent="0.25">
      <c r="A208" s="48">
        <f t="shared" si="47"/>
        <v>197</v>
      </c>
      <c r="B208" s="48" t="s">
        <v>646</v>
      </c>
      <c r="C208" s="48" t="s">
        <v>558</v>
      </c>
      <c r="D208" s="48" t="str">
        <f>INPUT_DATA!A189</f>
        <v>F9</v>
      </c>
      <c r="E208" s="49">
        <f t="shared" si="42"/>
        <v>5.8266666666666662</v>
      </c>
      <c r="F208" s="49">
        <f t="shared" si="43"/>
        <v>1030.7581538188001</v>
      </c>
      <c r="G208" s="50">
        <v>1.5</v>
      </c>
      <c r="H208" s="51">
        <f t="shared" si="44"/>
        <v>69.269352345579293</v>
      </c>
      <c r="I208" s="50">
        <f t="shared" si="45"/>
        <v>77.92</v>
      </c>
      <c r="J208" s="52">
        <f t="shared" si="46"/>
        <v>1.1854292129181907</v>
      </c>
    </row>
    <row r="209" spans="1:10" ht="24.95" customHeight="1" x14ac:dyDescent="0.25">
      <c r="A209" s="48">
        <f t="shared" si="47"/>
        <v>198</v>
      </c>
      <c r="B209" s="48" t="s">
        <v>647</v>
      </c>
      <c r="C209" s="48" t="s">
        <v>558</v>
      </c>
      <c r="D209" s="48" t="str">
        <f>INPUT_DATA!A190</f>
        <v>F9.1</v>
      </c>
      <c r="E209" s="49">
        <f t="shared" si="42"/>
        <v>0.97111111111111104</v>
      </c>
      <c r="F209" s="49">
        <f t="shared" si="43"/>
        <v>1030.7581538188001</v>
      </c>
      <c r="G209" s="50">
        <v>3</v>
      </c>
      <c r="H209" s="51">
        <f t="shared" si="44"/>
        <v>19.996339611655621</v>
      </c>
      <c r="I209" s="50">
        <f t="shared" si="45"/>
        <v>26.64</v>
      </c>
      <c r="J209" s="52">
        <f t="shared" si="46"/>
        <v>1.6902611981266216</v>
      </c>
    </row>
    <row r="210" spans="1:10" ht="24.95" customHeight="1" x14ac:dyDescent="0.25">
      <c r="A210" s="48">
        <f t="shared" si="47"/>
        <v>199</v>
      </c>
      <c r="B210" s="48" t="s">
        <v>648</v>
      </c>
      <c r="C210" s="48" t="s">
        <v>558</v>
      </c>
      <c r="D210" s="48" t="str">
        <f>INPUT_DATA!A191</f>
        <v>F9.2</v>
      </c>
      <c r="E210" s="49">
        <f t="shared" si="42"/>
        <v>0.97111111111111104</v>
      </c>
      <c r="F210" s="49">
        <f t="shared" si="43"/>
        <v>1030.7581538188001</v>
      </c>
      <c r="G210" s="50">
        <v>3</v>
      </c>
      <c r="H210" s="51">
        <f t="shared" si="44"/>
        <v>19.996339611655621</v>
      </c>
      <c r="I210" s="50">
        <f t="shared" si="45"/>
        <v>26.64</v>
      </c>
      <c r="J210" s="52">
        <f t="shared" si="46"/>
        <v>1.6902611981266216</v>
      </c>
    </row>
    <row r="211" spans="1:10" ht="24.95" customHeight="1" x14ac:dyDescent="0.25">
      <c r="A211" s="48">
        <f t="shared" si="47"/>
        <v>200</v>
      </c>
      <c r="B211" s="48" t="s">
        <v>649</v>
      </c>
      <c r="C211" s="48" t="s">
        <v>558</v>
      </c>
      <c r="D211" s="48" t="str">
        <f>INPUT_DATA!A192</f>
        <v>F9.3</v>
      </c>
      <c r="E211" s="49">
        <f t="shared" si="42"/>
        <v>0.97111111111111104</v>
      </c>
      <c r="F211" s="49">
        <f t="shared" si="43"/>
        <v>1030.7581538188001</v>
      </c>
      <c r="G211" s="50">
        <v>3</v>
      </c>
      <c r="H211" s="51">
        <f t="shared" si="44"/>
        <v>19.996339611655621</v>
      </c>
      <c r="I211" s="50">
        <f t="shared" si="45"/>
        <v>26.64</v>
      </c>
      <c r="J211" s="52">
        <f t="shared" si="46"/>
        <v>1.6902611981266216</v>
      </c>
    </row>
    <row r="212" spans="1:10" ht="24.95" customHeight="1" x14ac:dyDescent="0.25">
      <c r="A212" s="48">
        <f t="shared" si="47"/>
        <v>201</v>
      </c>
      <c r="B212" s="48" t="s">
        <v>650</v>
      </c>
      <c r="C212" s="48" t="s">
        <v>558</v>
      </c>
      <c r="D212" s="48" t="str">
        <f>INPUT_DATA!A193</f>
        <v>F9.4</v>
      </c>
      <c r="E212" s="49">
        <f t="shared" si="42"/>
        <v>0.97111111111111104</v>
      </c>
      <c r="F212" s="49">
        <f t="shared" si="43"/>
        <v>1030.7581538188001</v>
      </c>
      <c r="G212" s="50">
        <v>3</v>
      </c>
      <c r="H212" s="51">
        <f t="shared" si="44"/>
        <v>19.996339611655621</v>
      </c>
      <c r="I212" s="50">
        <f t="shared" si="45"/>
        <v>26.64</v>
      </c>
      <c r="J212" s="52">
        <f t="shared" si="46"/>
        <v>1.6902611981266216</v>
      </c>
    </row>
    <row r="213" spans="1:10" ht="24.95" customHeight="1" x14ac:dyDescent="0.25">
      <c r="A213" s="48">
        <f t="shared" si="47"/>
        <v>202</v>
      </c>
      <c r="B213" s="48" t="s">
        <v>651</v>
      </c>
      <c r="C213" s="48" t="s">
        <v>558</v>
      </c>
      <c r="D213" s="48" t="str">
        <f>INPUT_DATA!A194</f>
        <v>F9.5</v>
      </c>
      <c r="E213" s="49">
        <f t="shared" si="42"/>
        <v>0.97111111111111104</v>
      </c>
      <c r="F213" s="49">
        <f t="shared" si="43"/>
        <v>1030.7581538188001</v>
      </c>
      <c r="G213" s="50">
        <v>3</v>
      </c>
      <c r="H213" s="51">
        <f t="shared" si="44"/>
        <v>19.996339611655621</v>
      </c>
      <c r="I213" s="50">
        <f t="shared" si="45"/>
        <v>26.64</v>
      </c>
      <c r="J213" s="52">
        <f t="shared" si="46"/>
        <v>1.6902611981266216</v>
      </c>
    </row>
    <row r="214" spans="1:10" ht="24.95" customHeight="1" x14ac:dyDescent="0.25">
      <c r="A214" s="48">
        <f t="shared" si="47"/>
        <v>203</v>
      </c>
      <c r="B214" s="48" t="s">
        <v>652</v>
      </c>
      <c r="C214" s="48" t="s">
        <v>558</v>
      </c>
      <c r="D214" s="48" t="str">
        <f>INPUT_DATA!A195</f>
        <v>F9.6</v>
      </c>
      <c r="E214" s="49">
        <f t="shared" si="42"/>
        <v>0.97111111111111104</v>
      </c>
      <c r="F214" s="49">
        <f t="shared" si="43"/>
        <v>1030.7581538188001</v>
      </c>
      <c r="G214" s="50">
        <v>3</v>
      </c>
      <c r="H214" s="51">
        <f t="shared" si="44"/>
        <v>19.996339611655621</v>
      </c>
      <c r="I214" s="50">
        <f t="shared" si="45"/>
        <v>26.64</v>
      </c>
      <c r="J214" s="52">
        <f t="shared" si="46"/>
        <v>1.6902611981266216</v>
      </c>
    </row>
  </sheetData>
  <mergeCells count="3">
    <mergeCell ref="C1:C2"/>
    <mergeCell ref="B1:B2"/>
    <mergeCell ref="A1:A2"/>
  </mergeCells>
  <dataValidations count="1">
    <dataValidation type="list" allowBlank="1" errorTitle="Invalid Line Tag" error="Please select a valid Line Tag from INPUT_DATA" promptTitle="Line Tag" prompt="Select a Line Tag" sqref="D4:D214" xr:uid="{00000000-0002-0000-0300-000000000000}">
      <formula1>LineTags</formula1>
    </dataValidation>
  </dataValidations>
  <printOptions horizontalCentered="1"/>
  <pageMargins left="0.23622047244094491" right="0.23622047244094491" top="0.23622047244094491" bottom="0.23622047244094491" header="0.31496062992125978" footer="0.31496062992125978"/>
  <pageSetup paperSize="120" scale="25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29"/>
  <sheetViews>
    <sheetView topLeftCell="F1" workbookViewId="0">
      <selection activeCell="S13" sqref="S13"/>
    </sheetView>
  </sheetViews>
  <sheetFormatPr defaultColWidth="24.7109375" defaultRowHeight="24.95" customHeight="1" x14ac:dyDescent="0.25"/>
  <cols>
    <col min="1" max="1" width="5.5703125" style="93" bestFit="1" customWidth="1"/>
    <col min="2" max="2" width="15.7109375" style="88" bestFit="1" customWidth="1"/>
    <col min="3" max="3" width="22.42578125" style="88" bestFit="1" customWidth="1"/>
    <col min="4" max="4" width="9.42578125" style="88" bestFit="1" customWidth="1"/>
    <col min="5" max="5" width="25.140625" style="88" bestFit="1" customWidth="1"/>
    <col min="6" max="6" width="48" style="88" bestFit="1" customWidth="1"/>
    <col min="7" max="7" width="34.7109375" style="88" bestFit="1" customWidth="1"/>
    <col min="8" max="8" width="10.5703125" style="88" customWidth="1"/>
    <col min="9" max="15" width="10.7109375" style="88" customWidth="1"/>
    <col min="16" max="16" width="11.85546875" style="88" bestFit="1" customWidth="1"/>
    <col min="17" max="20" width="10.7109375" style="88" customWidth="1"/>
    <col min="21" max="21" width="11.140625" style="88" bestFit="1" customWidth="1"/>
    <col min="22" max="22" width="5.28515625" style="88" bestFit="1" customWidth="1"/>
    <col min="23" max="23" width="15.42578125" style="88" bestFit="1" customWidth="1"/>
    <col min="24" max="24" width="5.7109375" style="88" bestFit="1" customWidth="1"/>
    <col min="25" max="25" width="11.42578125" style="88" bestFit="1" customWidth="1"/>
    <col min="26" max="26" width="12.28515625" style="88" bestFit="1" customWidth="1"/>
    <col min="27" max="27" width="27" style="88" bestFit="1" customWidth="1"/>
    <col min="28" max="28" width="6" style="88" bestFit="1" customWidth="1"/>
    <col min="29" max="29" width="4.7109375" style="88" bestFit="1" customWidth="1"/>
    <col min="30" max="30" width="8.7109375" style="88" bestFit="1" customWidth="1"/>
    <col min="31" max="31" width="20.5703125" style="88" bestFit="1" customWidth="1"/>
    <col min="32" max="32" width="22.7109375" style="88" bestFit="1" customWidth="1"/>
    <col min="33" max="33" width="9.28515625" style="88" bestFit="1" customWidth="1"/>
    <col min="34" max="34" width="24.7109375" style="88" customWidth="1"/>
    <col min="35" max="16384" width="24.7109375" style="88"/>
  </cols>
  <sheetData>
    <row r="1" spans="1:33" ht="24.95" customHeight="1" x14ac:dyDescent="0.25">
      <c r="A1" s="122" t="s">
        <v>422</v>
      </c>
      <c r="B1" s="122" t="s">
        <v>653</v>
      </c>
      <c r="C1" s="122" t="s">
        <v>654</v>
      </c>
      <c r="D1" s="122" t="s">
        <v>655</v>
      </c>
      <c r="E1" s="122" t="s">
        <v>656</v>
      </c>
      <c r="F1" s="122" t="s">
        <v>657</v>
      </c>
      <c r="G1" s="122" t="s">
        <v>658</v>
      </c>
      <c r="H1" s="125" t="s">
        <v>424</v>
      </c>
      <c r="I1" s="120" t="s">
        <v>659</v>
      </c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20" t="s">
        <v>660</v>
      </c>
      <c r="V1" s="123"/>
      <c r="W1" s="123"/>
      <c r="X1" s="123"/>
      <c r="Y1" s="123"/>
      <c r="Z1" s="124"/>
      <c r="AA1" s="120" t="s">
        <v>661</v>
      </c>
      <c r="AB1" s="120" t="s">
        <v>662</v>
      </c>
      <c r="AC1" s="123"/>
      <c r="AD1" s="124"/>
      <c r="AE1" s="120" t="s">
        <v>663</v>
      </c>
      <c r="AF1" s="120" t="s">
        <v>664</v>
      </c>
      <c r="AG1" s="120" t="s">
        <v>665</v>
      </c>
    </row>
    <row r="2" spans="1:33" ht="24.95" customHeight="1" x14ac:dyDescent="0.25">
      <c r="A2" s="121"/>
      <c r="B2" s="121"/>
      <c r="C2" s="121"/>
      <c r="D2" s="121"/>
      <c r="E2" s="121"/>
      <c r="F2" s="121"/>
      <c r="G2" s="121"/>
      <c r="H2" s="121"/>
      <c r="I2" s="126" t="s">
        <v>666</v>
      </c>
      <c r="J2" s="123"/>
      <c r="K2" s="124"/>
      <c r="L2" s="120" t="s">
        <v>667</v>
      </c>
      <c r="M2" s="123"/>
      <c r="N2" s="124"/>
      <c r="O2" s="120" t="s">
        <v>668</v>
      </c>
      <c r="P2" s="123"/>
      <c r="Q2" s="124"/>
      <c r="R2" s="120" t="s">
        <v>669</v>
      </c>
      <c r="S2" s="123"/>
      <c r="T2" s="124"/>
      <c r="U2" s="120" t="s">
        <v>670</v>
      </c>
      <c r="V2" s="120" t="s">
        <v>3</v>
      </c>
      <c r="W2" s="120" t="s">
        <v>671</v>
      </c>
      <c r="X2" s="120" t="s">
        <v>672</v>
      </c>
      <c r="Y2" s="120" t="s">
        <v>673</v>
      </c>
      <c r="Z2" s="120" t="s">
        <v>674</v>
      </c>
      <c r="AA2" s="121"/>
      <c r="AB2" s="120" t="s">
        <v>675</v>
      </c>
      <c r="AC2" s="120" t="s">
        <v>676</v>
      </c>
      <c r="AD2" s="120" t="s">
        <v>677</v>
      </c>
      <c r="AE2" s="121"/>
      <c r="AF2" s="121"/>
      <c r="AG2" s="121"/>
    </row>
    <row r="3" spans="1:33" ht="24.95" customHeight="1" x14ac:dyDescent="0.25">
      <c r="A3" s="119"/>
      <c r="B3" s="119"/>
      <c r="C3" s="119"/>
      <c r="D3" s="119"/>
      <c r="E3" s="119"/>
      <c r="F3" s="119"/>
      <c r="G3" s="119"/>
      <c r="H3" s="119"/>
      <c r="I3" s="106" t="s">
        <v>678</v>
      </c>
      <c r="J3" s="105" t="s">
        <v>679</v>
      </c>
      <c r="K3" s="105" t="s">
        <v>680</v>
      </c>
      <c r="L3" s="104" t="s">
        <v>678</v>
      </c>
      <c r="M3" s="105" t="s">
        <v>679</v>
      </c>
      <c r="N3" s="104" t="s">
        <v>680</v>
      </c>
      <c r="O3" s="106" t="s">
        <v>678</v>
      </c>
      <c r="P3" s="105" t="s">
        <v>679</v>
      </c>
      <c r="Q3" s="105" t="s">
        <v>680</v>
      </c>
      <c r="R3" s="106" t="s">
        <v>678</v>
      </c>
      <c r="S3" s="105" t="s">
        <v>679</v>
      </c>
      <c r="T3" s="105" t="s">
        <v>680</v>
      </c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</row>
    <row r="4" spans="1:33" ht="24.95" customHeight="1" x14ac:dyDescent="0.25">
      <c r="A4" s="12">
        <v>1</v>
      </c>
      <c r="B4" s="2" t="s">
        <v>681</v>
      </c>
      <c r="C4" s="2" t="str">
        <f>'LIST OF LINES'!B4</f>
        <v>200-40-SS-SW-01</v>
      </c>
      <c r="D4" s="2" t="s">
        <v>682</v>
      </c>
      <c r="E4" s="2" t="s">
        <v>683</v>
      </c>
      <c r="F4" s="2" t="s">
        <v>684</v>
      </c>
      <c r="G4" s="2" t="s">
        <v>685</v>
      </c>
      <c r="H4" s="90" t="s">
        <v>437</v>
      </c>
      <c r="I4" s="90"/>
      <c r="J4" s="111">
        <f t="shared" ref="J4:J67" si="0">IFERROR(INDEX(Pressures_mbar,MATCH(INDEX(LOL_LineTags,MATCH(C4,LOL_LineNumbers,0)),LineTags,0)),IFERROR(INDEX(LOE_Pressures,MATCH(C4,LOE_EquipNames,0)),INDEX(LOE_Pressures,MATCH(C4,LOE_EquipTags,0))))</f>
        <v>1000</v>
      </c>
      <c r="K4" s="90"/>
      <c r="L4" s="90"/>
      <c r="M4" s="95">
        <f t="shared" ref="M4:M67" si="1">IFERROR(INDEX(Temperatures,MATCH(INDEX(LOL_LineTags,MATCH(C4,LOL_LineNumbers,0)),LineTags,0)),IFERROR(INDEX(LOE_Temperatures,MATCH(C4,LOE_EquipNames,0)),INDEX(LOE_Temperatures,MATCH(C4,LOE_EquipTags,0))))</f>
        <v>30</v>
      </c>
      <c r="N4" s="90"/>
      <c r="O4" s="90"/>
      <c r="P4" s="95">
        <f t="shared" ref="P4:P67" si="2">IFERROR(INDEX(FlowRates_kghr,MATCH(INDEX(LOL_LineTags,MATCH(C4,LOL_LineNumbers,0)),LineTags,0)),"")</f>
        <v>115522.21433026505</v>
      </c>
      <c r="Q4" s="90"/>
      <c r="R4" s="90"/>
      <c r="S4" s="95">
        <f t="shared" ref="S4:S67" si="3">IFERROR(INDEX(TDS_Values,MATCH(INDEX(LOL_LineTags,MATCH(C4,LOL_LineNumbers,0)),LineTags,0)),"")</f>
        <v>39504.431630128689</v>
      </c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</row>
    <row r="5" spans="1:33" ht="24.95" customHeight="1" x14ac:dyDescent="0.25">
      <c r="A5" s="12">
        <f t="shared" ref="A5:A68" si="4">A4+1</f>
        <v>2</v>
      </c>
      <c r="B5" s="2" t="s">
        <v>681</v>
      </c>
      <c r="C5" s="2" t="str">
        <f>'LIST OF LINES'!$B$5</f>
        <v>200-40-SS-SW-02</v>
      </c>
      <c r="D5" s="2" t="s">
        <v>686</v>
      </c>
      <c r="E5" s="2" t="s">
        <v>687</v>
      </c>
      <c r="F5" s="2" t="s">
        <v>688</v>
      </c>
      <c r="G5" s="2" t="s">
        <v>689</v>
      </c>
      <c r="H5" s="90" t="s">
        <v>437</v>
      </c>
      <c r="I5" s="90"/>
      <c r="J5" s="111">
        <f t="shared" si="0"/>
        <v>3500</v>
      </c>
      <c r="K5" s="90"/>
      <c r="L5" s="90"/>
      <c r="M5" s="95">
        <f t="shared" si="1"/>
        <v>30.086198338280042</v>
      </c>
      <c r="N5" s="90"/>
      <c r="O5" s="90"/>
      <c r="P5" s="95">
        <f t="shared" si="2"/>
        <v>115522.21433026505</v>
      </c>
      <c r="Q5" s="90"/>
      <c r="R5" s="90"/>
      <c r="S5" s="95">
        <f t="shared" si="3"/>
        <v>39504.431630128689</v>
      </c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</row>
    <row r="6" spans="1:33" ht="24.95" customHeight="1" x14ac:dyDescent="0.25">
      <c r="A6" s="12">
        <f t="shared" si="4"/>
        <v>3</v>
      </c>
      <c r="B6" s="2" t="s">
        <v>681</v>
      </c>
      <c r="C6" s="2" t="str">
        <f>'LIST OF LINES'!$B$5</f>
        <v>200-40-SS-SW-02</v>
      </c>
      <c r="D6" s="2" t="s">
        <v>690</v>
      </c>
      <c r="E6" s="2" t="s">
        <v>691</v>
      </c>
      <c r="F6" s="2" t="s">
        <v>692</v>
      </c>
      <c r="G6" s="2" t="s">
        <v>689</v>
      </c>
      <c r="H6" s="90" t="s">
        <v>437</v>
      </c>
      <c r="I6" s="90"/>
      <c r="J6" s="111">
        <f t="shared" si="0"/>
        <v>3500</v>
      </c>
      <c r="K6" s="90"/>
      <c r="L6" s="90"/>
      <c r="M6" s="95">
        <f t="shared" si="1"/>
        <v>30.086198338280042</v>
      </c>
      <c r="N6" s="90"/>
      <c r="O6" s="90"/>
      <c r="P6" s="95">
        <f t="shared" si="2"/>
        <v>115522.21433026505</v>
      </c>
      <c r="Q6" s="90"/>
      <c r="R6" s="90"/>
      <c r="S6" s="95">
        <f t="shared" si="3"/>
        <v>39504.431630128689</v>
      </c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</row>
    <row r="7" spans="1:33" ht="24.95" customHeight="1" x14ac:dyDescent="0.25">
      <c r="A7" s="12">
        <f t="shared" si="4"/>
        <v>4</v>
      </c>
      <c r="B7" s="2" t="s">
        <v>681</v>
      </c>
      <c r="C7" s="2" t="str">
        <f>'LIST OF LINES'!$B$5</f>
        <v>200-40-SS-SW-02</v>
      </c>
      <c r="D7" s="2" t="s">
        <v>693</v>
      </c>
      <c r="E7" s="2" t="s">
        <v>694</v>
      </c>
      <c r="F7" s="2" t="s">
        <v>695</v>
      </c>
      <c r="G7" s="2" t="s">
        <v>696</v>
      </c>
      <c r="H7" s="90" t="s">
        <v>437</v>
      </c>
      <c r="I7" s="90"/>
      <c r="J7" s="111">
        <f t="shared" si="0"/>
        <v>3500</v>
      </c>
      <c r="K7" s="90"/>
      <c r="L7" s="90"/>
      <c r="M7" s="95">
        <f t="shared" si="1"/>
        <v>30.086198338280042</v>
      </c>
      <c r="N7" s="90"/>
      <c r="O7" s="90"/>
      <c r="P7" s="95">
        <f t="shared" si="2"/>
        <v>115522.21433026505</v>
      </c>
      <c r="Q7" s="90"/>
      <c r="R7" s="90"/>
      <c r="S7" s="95">
        <f t="shared" si="3"/>
        <v>39504.431630128689</v>
      </c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</row>
    <row r="8" spans="1:33" ht="24.95" customHeight="1" x14ac:dyDescent="0.25">
      <c r="A8" s="12">
        <f t="shared" si="4"/>
        <v>5</v>
      </c>
      <c r="B8" s="2" t="s">
        <v>681</v>
      </c>
      <c r="C8" s="2" t="str">
        <f>'LIST OF LINES'!$B$5</f>
        <v>200-40-SS-SW-02</v>
      </c>
      <c r="D8" s="2" t="s">
        <v>697</v>
      </c>
      <c r="E8" s="2" t="s">
        <v>698</v>
      </c>
      <c r="F8" s="2" t="s">
        <v>699</v>
      </c>
      <c r="G8" s="2" t="s">
        <v>685</v>
      </c>
      <c r="H8" s="90" t="s">
        <v>437</v>
      </c>
      <c r="I8" s="90"/>
      <c r="J8" s="111">
        <f t="shared" si="0"/>
        <v>3500</v>
      </c>
      <c r="K8" s="90"/>
      <c r="L8" s="90"/>
      <c r="M8" s="95">
        <f t="shared" si="1"/>
        <v>30.086198338280042</v>
      </c>
      <c r="N8" s="90"/>
      <c r="O8" s="90"/>
      <c r="P8" s="95">
        <f t="shared" si="2"/>
        <v>115522.21433026505</v>
      </c>
      <c r="Q8" s="90"/>
      <c r="R8" s="90"/>
      <c r="S8" s="95">
        <f t="shared" si="3"/>
        <v>39504.431630128689</v>
      </c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</row>
    <row r="9" spans="1:33" ht="24.95" customHeight="1" x14ac:dyDescent="0.25">
      <c r="A9" s="12">
        <f t="shared" si="4"/>
        <v>6</v>
      </c>
      <c r="B9" s="2" t="s">
        <v>681</v>
      </c>
      <c r="C9" s="2" t="str">
        <f>'LIST OF LINES'!$B$5</f>
        <v>200-40-SS-SW-02</v>
      </c>
      <c r="D9" s="2" t="s">
        <v>700</v>
      </c>
      <c r="E9" s="2"/>
      <c r="F9" s="2" t="s">
        <v>701</v>
      </c>
      <c r="G9" s="2" t="s">
        <v>702</v>
      </c>
      <c r="H9" s="90" t="s">
        <v>437</v>
      </c>
      <c r="I9" s="90"/>
      <c r="J9" s="111">
        <f t="shared" si="0"/>
        <v>3500</v>
      </c>
      <c r="K9" s="90"/>
      <c r="L9" s="90"/>
      <c r="M9" s="95">
        <f t="shared" si="1"/>
        <v>30.086198338280042</v>
      </c>
      <c r="N9" s="90"/>
      <c r="O9" s="90"/>
      <c r="P9" s="95">
        <f t="shared" si="2"/>
        <v>115522.21433026505</v>
      </c>
      <c r="Q9" s="90"/>
      <c r="R9" s="90"/>
      <c r="S9" s="95">
        <f t="shared" si="3"/>
        <v>39504.431630128689</v>
      </c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</row>
    <row r="10" spans="1:33" ht="24.95" customHeight="1" x14ac:dyDescent="0.25">
      <c r="A10" s="12">
        <f t="shared" si="4"/>
        <v>7</v>
      </c>
      <c r="B10" s="2" t="s">
        <v>681</v>
      </c>
      <c r="C10" s="2" t="str">
        <f>'LIST OF LINES'!$B$5</f>
        <v>200-40-SS-SW-02</v>
      </c>
      <c r="D10" s="2" t="s">
        <v>703</v>
      </c>
      <c r="E10" s="2"/>
      <c r="F10" s="2" t="s">
        <v>704</v>
      </c>
      <c r="G10" s="2" t="s">
        <v>705</v>
      </c>
      <c r="H10" s="90" t="s">
        <v>437</v>
      </c>
      <c r="I10" s="90"/>
      <c r="J10" s="111">
        <f t="shared" si="0"/>
        <v>3500</v>
      </c>
      <c r="K10" s="90"/>
      <c r="L10" s="90"/>
      <c r="M10" s="95">
        <f t="shared" si="1"/>
        <v>30.086198338280042</v>
      </c>
      <c r="N10" s="90"/>
      <c r="O10" s="90"/>
      <c r="P10" s="95">
        <f t="shared" si="2"/>
        <v>115522.21433026505</v>
      </c>
      <c r="Q10" s="90"/>
      <c r="R10" s="90"/>
      <c r="S10" s="95">
        <f t="shared" si="3"/>
        <v>39504.431630128689</v>
      </c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</row>
    <row r="11" spans="1:33" ht="24.95" customHeight="1" x14ac:dyDescent="0.25">
      <c r="A11" s="12">
        <f t="shared" si="4"/>
        <v>8</v>
      </c>
      <c r="B11" s="2" t="s">
        <v>681</v>
      </c>
      <c r="C11" s="2" t="str">
        <f>'LIST OF LINES'!$B$5</f>
        <v>200-40-SS-SW-02</v>
      </c>
      <c r="D11" s="2" t="s">
        <v>706</v>
      </c>
      <c r="E11" s="2"/>
      <c r="F11" s="2" t="s">
        <v>704</v>
      </c>
      <c r="G11" s="2" t="s">
        <v>707</v>
      </c>
      <c r="H11" s="90" t="s">
        <v>437</v>
      </c>
      <c r="I11" s="90"/>
      <c r="J11" s="111">
        <f t="shared" si="0"/>
        <v>3500</v>
      </c>
      <c r="K11" s="90"/>
      <c r="L11" s="90"/>
      <c r="M11" s="95">
        <f t="shared" si="1"/>
        <v>30.086198338280042</v>
      </c>
      <c r="N11" s="90"/>
      <c r="O11" s="90"/>
      <c r="P11" s="95">
        <f t="shared" si="2"/>
        <v>115522.21433026505</v>
      </c>
      <c r="Q11" s="90"/>
      <c r="R11" s="90"/>
      <c r="S11" s="95">
        <f t="shared" si="3"/>
        <v>39504.431630128689</v>
      </c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</row>
    <row r="12" spans="1:33" ht="24.95" customHeight="1" x14ac:dyDescent="0.25">
      <c r="A12" s="12">
        <f t="shared" si="4"/>
        <v>9</v>
      </c>
      <c r="B12" s="2" t="s">
        <v>681</v>
      </c>
      <c r="C12" s="2" t="str">
        <f>'LIST OF LINES'!$B$5</f>
        <v>200-40-SS-SW-02</v>
      </c>
      <c r="D12" s="2" t="s">
        <v>708</v>
      </c>
      <c r="E12" s="2" t="s">
        <v>709</v>
      </c>
      <c r="F12" s="2" t="s">
        <v>704</v>
      </c>
      <c r="G12" s="2" t="s">
        <v>710</v>
      </c>
      <c r="H12" s="90" t="s">
        <v>437</v>
      </c>
      <c r="I12" s="90"/>
      <c r="J12" s="111">
        <f t="shared" si="0"/>
        <v>3500</v>
      </c>
      <c r="K12" s="90"/>
      <c r="L12" s="90"/>
      <c r="M12" s="95">
        <f t="shared" si="1"/>
        <v>30.086198338280042</v>
      </c>
      <c r="N12" s="90"/>
      <c r="O12" s="90"/>
      <c r="P12" s="95">
        <f t="shared" si="2"/>
        <v>115522.21433026505</v>
      </c>
      <c r="Q12" s="90"/>
      <c r="R12" s="90"/>
      <c r="S12" s="95">
        <f t="shared" si="3"/>
        <v>39504.431630128689</v>
      </c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</row>
    <row r="13" spans="1:33" ht="24.95" customHeight="1" x14ac:dyDescent="0.25">
      <c r="A13" s="12">
        <f t="shared" si="4"/>
        <v>10</v>
      </c>
      <c r="B13" s="2" t="s">
        <v>681</v>
      </c>
      <c r="C13" s="2" t="str">
        <f>'LIST OF LINES'!$B$7</f>
        <v>100-40-SS-SW-04</v>
      </c>
      <c r="D13" s="2" t="s">
        <v>711</v>
      </c>
      <c r="E13" s="2" t="s">
        <v>712</v>
      </c>
      <c r="F13" s="2" t="s">
        <v>713</v>
      </c>
      <c r="G13" s="2" t="s">
        <v>685</v>
      </c>
      <c r="H13" s="90" t="s">
        <v>437</v>
      </c>
      <c r="I13" s="90"/>
      <c r="J13" s="95">
        <f t="shared" si="0"/>
        <v>3500</v>
      </c>
      <c r="K13" s="90"/>
      <c r="L13" s="90"/>
      <c r="M13" s="95">
        <f t="shared" si="1"/>
        <v>36</v>
      </c>
      <c r="N13" s="90"/>
      <c r="O13" s="90"/>
      <c r="P13" s="95">
        <f t="shared" si="2"/>
        <v>40282.214330265087</v>
      </c>
      <c r="Q13" s="90"/>
      <c r="R13" s="90"/>
      <c r="S13" s="90">
        <f t="shared" si="3"/>
        <v>39504.431630128689</v>
      </c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</row>
    <row r="14" spans="1:33" ht="24.95" customHeight="1" x14ac:dyDescent="0.25">
      <c r="A14" s="12">
        <f t="shared" si="4"/>
        <v>11</v>
      </c>
      <c r="B14" s="2" t="s">
        <v>681</v>
      </c>
      <c r="C14" s="2" t="str">
        <f>'LIST OF LINES'!$B$7</f>
        <v>100-40-SS-SW-04</v>
      </c>
      <c r="D14" s="2" t="s">
        <v>714</v>
      </c>
      <c r="E14" s="2"/>
      <c r="F14" s="2" t="s">
        <v>713</v>
      </c>
      <c r="G14" s="2" t="s">
        <v>702</v>
      </c>
      <c r="H14" s="90" t="s">
        <v>437</v>
      </c>
      <c r="I14" s="90"/>
      <c r="J14" s="90">
        <f t="shared" si="0"/>
        <v>3500</v>
      </c>
      <c r="K14" s="90"/>
      <c r="L14" s="90"/>
      <c r="M14" s="90">
        <f t="shared" si="1"/>
        <v>36</v>
      </c>
      <c r="N14" s="90"/>
      <c r="O14" s="90"/>
      <c r="P14" s="90">
        <f t="shared" si="2"/>
        <v>40282.214330265087</v>
      </c>
      <c r="Q14" s="90"/>
      <c r="R14" s="90"/>
      <c r="S14" s="90">
        <f t="shared" si="3"/>
        <v>39504.431630128689</v>
      </c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</row>
    <row r="15" spans="1:33" ht="24.95" customHeight="1" x14ac:dyDescent="0.25">
      <c r="A15" s="12">
        <f t="shared" si="4"/>
        <v>12</v>
      </c>
      <c r="B15" s="2" t="s">
        <v>681</v>
      </c>
      <c r="C15" s="2" t="str">
        <f>'LIST OF LINES'!$B$7</f>
        <v>100-40-SS-SW-04</v>
      </c>
      <c r="D15" s="2" t="s">
        <v>715</v>
      </c>
      <c r="E15" s="2"/>
      <c r="F15" s="2" t="s">
        <v>713</v>
      </c>
      <c r="G15" s="2" t="s">
        <v>705</v>
      </c>
      <c r="H15" s="90" t="s">
        <v>437</v>
      </c>
      <c r="I15" s="90"/>
      <c r="J15" s="90">
        <f t="shared" si="0"/>
        <v>3500</v>
      </c>
      <c r="K15" s="90"/>
      <c r="L15" s="90"/>
      <c r="M15" s="90">
        <f t="shared" si="1"/>
        <v>36</v>
      </c>
      <c r="N15" s="90"/>
      <c r="O15" s="90"/>
      <c r="P15" s="90">
        <f t="shared" si="2"/>
        <v>40282.214330265087</v>
      </c>
      <c r="Q15" s="90"/>
      <c r="R15" s="90"/>
      <c r="S15" s="90">
        <f t="shared" si="3"/>
        <v>39504.431630128689</v>
      </c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</row>
    <row r="16" spans="1:33" ht="24.95" customHeight="1" x14ac:dyDescent="0.25">
      <c r="A16" s="12">
        <f t="shared" si="4"/>
        <v>13</v>
      </c>
      <c r="B16" s="2" t="s">
        <v>716</v>
      </c>
      <c r="C16" s="2" t="str">
        <f>'LIST OF LINES'!B8</f>
        <v>65-40-SS-SW-05</v>
      </c>
      <c r="D16" s="2" t="s">
        <v>717</v>
      </c>
      <c r="E16" s="2"/>
      <c r="F16" s="2" t="s">
        <v>718</v>
      </c>
      <c r="G16" s="2" t="s">
        <v>719</v>
      </c>
      <c r="H16" s="90" t="s">
        <v>437</v>
      </c>
      <c r="I16" s="90"/>
      <c r="J16" s="90">
        <f t="shared" si="0"/>
        <v>3500</v>
      </c>
      <c r="K16" s="90"/>
      <c r="L16" s="90"/>
      <c r="M16" s="90">
        <f t="shared" si="1"/>
        <v>36</v>
      </c>
      <c r="N16" s="90"/>
      <c r="O16" s="90"/>
      <c r="P16" s="90">
        <f t="shared" si="2"/>
        <v>13427.404776755029</v>
      </c>
      <c r="Q16" s="90"/>
      <c r="R16" s="90"/>
      <c r="S16" s="90">
        <f t="shared" si="3"/>
        <v>39504.431630128689</v>
      </c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</row>
    <row r="17" spans="1:32" ht="24.95" customHeight="1" x14ac:dyDescent="0.25">
      <c r="A17" s="12">
        <f t="shared" si="4"/>
        <v>14</v>
      </c>
      <c r="B17" s="2" t="s">
        <v>716</v>
      </c>
      <c r="C17" s="2" t="str">
        <f>'LIST OF LINES'!B8</f>
        <v>65-40-SS-SW-05</v>
      </c>
      <c r="D17" s="2" t="s">
        <v>720</v>
      </c>
      <c r="E17" s="2"/>
      <c r="F17" s="2" t="s">
        <v>721</v>
      </c>
      <c r="G17" s="2" t="s">
        <v>707</v>
      </c>
      <c r="H17" s="90" t="s">
        <v>437</v>
      </c>
      <c r="I17" s="90"/>
      <c r="J17" s="90">
        <f t="shared" si="0"/>
        <v>3500</v>
      </c>
      <c r="K17" s="90"/>
      <c r="L17" s="90"/>
      <c r="M17" s="90">
        <f t="shared" si="1"/>
        <v>36</v>
      </c>
      <c r="N17" s="90"/>
      <c r="O17" s="90"/>
      <c r="P17" s="90">
        <f t="shared" si="2"/>
        <v>13427.404776755029</v>
      </c>
      <c r="Q17" s="90"/>
      <c r="R17" s="90"/>
      <c r="S17" s="90">
        <f t="shared" si="3"/>
        <v>39504.431630128689</v>
      </c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</row>
    <row r="18" spans="1:32" ht="24.95" customHeight="1" x14ac:dyDescent="0.25">
      <c r="A18" s="12">
        <f t="shared" si="4"/>
        <v>15</v>
      </c>
      <c r="B18" s="2" t="s">
        <v>716</v>
      </c>
      <c r="C18" s="2" t="str">
        <f>'LIST OF LINES'!B9</f>
        <v>65-40-SS-SW-06</v>
      </c>
      <c r="D18" s="2" t="s">
        <v>722</v>
      </c>
      <c r="E18" s="2"/>
      <c r="F18" s="2" t="s">
        <v>723</v>
      </c>
      <c r="G18" s="2" t="s">
        <v>719</v>
      </c>
      <c r="H18" s="90" t="s">
        <v>437</v>
      </c>
      <c r="I18" s="90"/>
      <c r="J18" s="90">
        <f t="shared" si="0"/>
        <v>3500</v>
      </c>
      <c r="K18" s="90"/>
      <c r="L18" s="90"/>
      <c r="M18" s="90">
        <f t="shared" si="1"/>
        <v>36</v>
      </c>
      <c r="N18" s="90"/>
      <c r="O18" s="90"/>
      <c r="P18" s="90">
        <f t="shared" si="2"/>
        <v>13427.404776755029</v>
      </c>
      <c r="Q18" s="90"/>
      <c r="R18" s="90"/>
      <c r="S18" s="90">
        <f t="shared" si="3"/>
        <v>39504.431630128689</v>
      </c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</row>
    <row r="19" spans="1:32" ht="24.95" customHeight="1" x14ac:dyDescent="0.25">
      <c r="A19" s="12">
        <f t="shared" si="4"/>
        <v>16</v>
      </c>
      <c r="B19" s="2" t="s">
        <v>716</v>
      </c>
      <c r="C19" s="2" t="str">
        <f>'LIST OF LINES'!B9</f>
        <v>65-40-SS-SW-06</v>
      </c>
      <c r="D19" s="2" t="s">
        <v>724</v>
      </c>
      <c r="E19" s="2"/>
      <c r="F19" s="2" t="s">
        <v>725</v>
      </c>
      <c r="G19" s="2" t="s">
        <v>707</v>
      </c>
      <c r="H19" s="90" t="s">
        <v>437</v>
      </c>
      <c r="I19" s="90"/>
      <c r="J19" s="90">
        <f t="shared" si="0"/>
        <v>3500</v>
      </c>
      <c r="K19" s="90"/>
      <c r="L19" s="90"/>
      <c r="M19" s="90">
        <f t="shared" si="1"/>
        <v>36</v>
      </c>
      <c r="N19" s="90"/>
      <c r="O19" s="90"/>
      <c r="P19" s="90">
        <f t="shared" si="2"/>
        <v>13427.404776755029</v>
      </c>
      <c r="Q19" s="90"/>
      <c r="R19" s="90"/>
      <c r="S19" s="90">
        <f t="shared" si="3"/>
        <v>39504.431630128689</v>
      </c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</row>
    <row r="20" spans="1:32" ht="24.95" customHeight="1" x14ac:dyDescent="0.25">
      <c r="A20" s="12">
        <f t="shared" si="4"/>
        <v>17</v>
      </c>
      <c r="B20" s="2" t="s">
        <v>716</v>
      </c>
      <c r="C20" s="2" t="str">
        <f>'LIST OF LINES'!B10</f>
        <v>65-40-SS-SW-07</v>
      </c>
      <c r="D20" s="2" t="s">
        <v>726</v>
      </c>
      <c r="E20" s="2"/>
      <c r="F20" s="2" t="s">
        <v>727</v>
      </c>
      <c r="G20" s="2" t="s">
        <v>719</v>
      </c>
      <c r="H20" s="90" t="s">
        <v>437</v>
      </c>
      <c r="I20" s="90"/>
      <c r="J20" s="90">
        <f t="shared" si="0"/>
        <v>3500</v>
      </c>
      <c r="K20" s="90"/>
      <c r="L20" s="90"/>
      <c r="M20" s="90">
        <f t="shared" si="1"/>
        <v>36</v>
      </c>
      <c r="N20" s="90"/>
      <c r="O20" s="90"/>
      <c r="P20" s="90">
        <f t="shared" si="2"/>
        <v>13427.404776755029</v>
      </c>
      <c r="Q20" s="90"/>
      <c r="R20" s="90"/>
      <c r="S20" s="90">
        <f t="shared" si="3"/>
        <v>39504.431630128689</v>
      </c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</row>
    <row r="21" spans="1:32" ht="24.95" customHeight="1" x14ac:dyDescent="0.25">
      <c r="A21" s="12">
        <f t="shared" si="4"/>
        <v>18</v>
      </c>
      <c r="B21" s="2" t="s">
        <v>716</v>
      </c>
      <c r="C21" s="2" t="str">
        <f>'LIST OF LINES'!B10</f>
        <v>65-40-SS-SW-07</v>
      </c>
      <c r="D21" s="2" t="s">
        <v>728</v>
      </c>
      <c r="E21" s="2"/>
      <c r="F21" s="2" t="s">
        <v>729</v>
      </c>
      <c r="G21" s="2" t="s">
        <v>707</v>
      </c>
      <c r="H21" s="90" t="s">
        <v>437</v>
      </c>
      <c r="I21" s="90"/>
      <c r="J21" s="90">
        <f t="shared" si="0"/>
        <v>3500</v>
      </c>
      <c r="K21" s="90"/>
      <c r="L21" s="90"/>
      <c r="M21" s="90">
        <f t="shared" si="1"/>
        <v>36</v>
      </c>
      <c r="N21" s="90"/>
      <c r="O21" s="90"/>
      <c r="P21" s="90">
        <f t="shared" si="2"/>
        <v>13427.404776755029</v>
      </c>
      <c r="Q21" s="90"/>
      <c r="R21" s="90"/>
      <c r="S21" s="90">
        <f t="shared" si="3"/>
        <v>39504.431630128689</v>
      </c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</row>
    <row r="22" spans="1:32" ht="24.95" customHeight="1" x14ac:dyDescent="0.25">
      <c r="A22" s="12">
        <f t="shared" si="4"/>
        <v>19</v>
      </c>
      <c r="B22" s="2" t="s">
        <v>681</v>
      </c>
      <c r="C22" s="2" t="str">
        <f>'LIST OF LINES'!B12</f>
        <v>100-40-SS-SW-09</v>
      </c>
      <c r="D22" s="2" t="s">
        <v>730</v>
      </c>
      <c r="E22" s="2" t="s">
        <v>731</v>
      </c>
      <c r="F22" s="2" t="s">
        <v>732</v>
      </c>
      <c r="G22" s="2" t="s">
        <v>685</v>
      </c>
      <c r="H22" s="90" t="s">
        <v>437</v>
      </c>
      <c r="I22" s="90"/>
      <c r="J22" s="90">
        <f t="shared" si="0"/>
        <v>3500</v>
      </c>
      <c r="K22" s="90"/>
      <c r="L22" s="90"/>
      <c r="M22" s="90">
        <f t="shared" si="1"/>
        <v>36.450000000000003</v>
      </c>
      <c r="N22" s="90"/>
      <c r="O22" s="90"/>
      <c r="P22" s="90">
        <f t="shared" si="2"/>
        <v>35640</v>
      </c>
      <c r="Q22" s="90"/>
      <c r="R22" s="90"/>
      <c r="S22" s="90">
        <f t="shared" si="3"/>
        <v>39504.431630128689</v>
      </c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</row>
    <row r="23" spans="1:32" ht="24.95" customHeight="1" x14ac:dyDescent="0.25">
      <c r="A23" s="12">
        <f t="shared" si="4"/>
        <v>20</v>
      </c>
      <c r="B23" s="2" t="s">
        <v>681</v>
      </c>
      <c r="C23" s="2" t="str">
        <f>'LIST OF LINES'!B12</f>
        <v>100-40-SS-SW-09</v>
      </c>
      <c r="D23" s="2" t="s">
        <v>733</v>
      </c>
      <c r="E23" s="2"/>
      <c r="F23" s="2" t="s">
        <v>732</v>
      </c>
      <c r="G23" s="2" t="s">
        <v>702</v>
      </c>
      <c r="H23" s="90" t="s">
        <v>437</v>
      </c>
      <c r="I23" s="90"/>
      <c r="J23" s="90">
        <f t="shared" si="0"/>
        <v>3500</v>
      </c>
      <c r="K23" s="90"/>
      <c r="L23" s="90"/>
      <c r="M23" s="90">
        <f t="shared" si="1"/>
        <v>36.450000000000003</v>
      </c>
      <c r="N23" s="90"/>
      <c r="O23" s="90"/>
      <c r="P23" s="90">
        <f t="shared" si="2"/>
        <v>35640</v>
      </c>
      <c r="Q23" s="90"/>
      <c r="R23" s="90"/>
      <c r="S23" s="90">
        <f t="shared" si="3"/>
        <v>39504.431630128689</v>
      </c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</row>
    <row r="24" spans="1:32" ht="24.95" customHeight="1" x14ac:dyDescent="0.25">
      <c r="A24" s="12">
        <f t="shared" si="4"/>
        <v>21</v>
      </c>
      <c r="B24" s="2" t="s">
        <v>681</v>
      </c>
      <c r="C24" s="2" t="str">
        <f>'LIST OF LINES'!B12</f>
        <v>100-40-SS-SW-09</v>
      </c>
      <c r="D24" s="2" t="s">
        <v>734</v>
      </c>
      <c r="E24" s="2"/>
      <c r="F24" s="2" t="s">
        <v>732</v>
      </c>
      <c r="G24" s="2" t="s">
        <v>705</v>
      </c>
      <c r="H24" s="90" t="s">
        <v>437</v>
      </c>
      <c r="I24" s="90"/>
      <c r="J24" s="90">
        <f t="shared" si="0"/>
        <v>3500</v>
      </c>
      <c r="K24" s="90"/>
      <c r="L24" s="90"/>
      <c r="M24" s="90">
        <f t="shared" si="1"/>
        <v>36.450000000000003</v>
      </c>
      <c r="N24" s="90"/>
      <c r="O24" s="90"/>
      <c r="P24" s="90">
        <f t="shared" si="2"/>
        <v>35640</v>
      </c>
      <c r="Q24" s="90"/>
      <c r="R24" s="90"/>
      <c r="S24" s="90">
        <f t="shared" si="3"/>
        <v>39504.431630128689</v>
      </c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</row>
    <row r="25" spans="1:32" ht="24.95" customHeight="1" x14ac:dyDescent="0.25">
      <c r="A25" s="12">
        <f t="shared" si="4"/>
        <v>22</v>
      </c>
      <c r="B25" s="2" t="s">
        <v>716</v>
      </c>
      <c r="C25" s="2" t="str">
        <f>'LIST OF LINES'!B13</f>
        <v>65-40-SS-SW-10</v>
      </c>
      <c r="D25" s="2" t="s">
        <v>735</v>
      </c>
      <c r="E25" s="2"/>
      <c r="F25" s="2" t="s">
        <v>736</v>
      </c>
      <c r="G25" s="2" t="s">
        <v>719</v>
      </c>
      <c r="H25" s="90" t="s">
        <v>437</v>
      </c>
      <c r="I25" s="90"/>
      <c r="J25" s="90">
        <f t="shared" si="0"/>
        <v>3500</v>
      </c>
      <c r="K25" s="90"/>
      <c r="L25" s="90"/>
      <c r="M25" s="90">
        <f t="shared" si="1"/>
        <v>36.450000000000003</v>
      </c>
      <c r="N25" s="90"/>
      <c r="O25" s="90"/>
      <c r="P25" s="90">
        <f t="shared" si="2"/>
        <v>11880</v>
      </c>
      <c r="Q25" s="90"/>
      <c r="R25" s="90"/>
      <c r="S25" s="90">
        <f t="shared" si="3"/>
        <v>39504.431630128689</v>
      </c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</row>
    <row r="26" spans="1:32" ht="24.95" customHeight="1" x14ac:dyDescent="0.25">
      <c r="A26" s="12">
        <f t="shared" si="4"/>
        <v>23</v>
      </c>
      <c r="B26" s="2" t="s">
        <v>716</v>
      </c>
      <c r="C26" s="2" t="str">
        <f>'LIST OF LINES'!B13</f>
        <v>65-40-SS-SW-10</v>
      </c>
      <c r="D26" s="2" t="s">
        <v>737</v>
      </c>
      <c r="E26" s="2"/>
      <c r="F26" s="2" t="s">
        <v>738</v>
      </c>
      <c r="G26" s="2" t="s">
        <v>707</v>
      </c>
      <c r="H26" s="90" t="s">
        <v>437</v>
      </c>
      <c r="I26" s="90"/>
      <c r="J26" s="90">
        <f t="shared" si="0"/>
        <v>3500</v>
      </c>
      <c r="K26" s="90"/>
      <c r="L26" s="90"/>
      <c r="M26" s="90">
        <f t="shared" si="1"/>
        <v>36.450000000000003</v>
      </c>
      <c r="N26" s="90"/>
      <c r="O26" s="90"/>
      <c r="P26" s="90">
        <f t="shared" si="2"/>
        <v>11880</v>
      </c>
      <c r="Q26" s="90"/>
      <c r="R26" s="90"/>
      <c r="S26" s="90">
        <f t="shared" si="3"/>
        <v>39504.431630128689</v>
      </c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</row>
    <row r="27" spans="1:32" ht="24.95" customHeight="1" x14ac:dyDescent="0.25">
      <c r="A27" s="12">
        <f t="shared" si="4"/>
        <v>24</v>
      </c>
      <c r="B27" s="2" t="s">
        <v>716</v>
      </c>
      <c r="C27" s="2" t="str">
        <f>'LIST OF LINES'!B14</f>
        <v>65-40-SS-SW-11</v>
      </c>
      <c r="D27" s="2" t="s">
        <v>739</v>
      </c>
      <c r="E27" s="2"/>
      <c r="F27" s="2" t="s">
        <v>740</v>
      </c>
      <c r="G27" s="2" t="s">
        <v>719</v>
      </c>
      <c r="H27" s="90" t="s">
        <v>437</v>
      </c>
      <c r="I27" s="90"/>
      <c r="J27" s="90">
        <f t="shared" si="0"/>
        <v>3500</v>
      </c>
      <c r="K27" s="90"/>
      <c r="L27" s="90"/>
      <c r="M27" s="90">
        <f t="shared" si="1"/>
        <v>36.450000000000003</v>
      </c>
      <c r="N27" s="90"/>
      <c r="O27" s="90"/>
      <c r="P27" s="90">
        <f t="shared" si="2"/>
        <v>11880</v>
      </c>
      <c r="Q27" s="90"/>
      <c r="R27" s="90"/>
      <c r="S27" s="90">
        <f t="shared" si="3"/>
        <v>39504.431630128689</v>
      </c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</row>
    <row r="28" spans="1:32" ht="24.95" customHeight="1" x14ac:dyDescent="0.25">
      <c r="A28" s="12">
        <f t="shared" si="4"/>
        <v>25</v>
      </c>
      <c r="B28" s="2" t="s">
        <v>716</v>
      </c>
      <c r="C28" s="2" t="str">
        <f>'LIST OF LINES'!B14</f>
        <v>65-40-SS-SW-11</v>
      </c>
      <c r="D28" s="2" t="s">
        <v>741</v>
      </c>
      <c r="E28" s="2"/>
      <c r="F28" s="2" t="s">
        <v>742</v>
      </c>
      <c r="G28" s="2" t="s">
        <v>707</v>
      </c>
      <c r="H28" s="90" t="s">
        <v>437</v>
      </c>
      <c r="I28" s="90"/>
      <c r="J28" s="90">
        <f t="shared" si="0"/>
        <v>3500</v>
      </c>
      <c r="K28" s="90"/>
      <c r="L28" s="90"/>
      <c r="M28" s="90">
        <f t="shared" si="1"/>
        <v>36.450000000000003</v>
      </c>
      <c r="N28" s="90"/>
      <c r="O28" s="90"/>
      <c r="P28" s="90">
        <f t="shared" si="2"/>
        <v>11880</v>
      </c>
      <c r="Q28" s="90"/>
      <c r="R28" s="90"/>
      <c r="S28" s="90">
        <f t="shared" si="3"/>
        <v>39504.431630128689</v>
      </c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</row>
    <row r="29" spans="1:32" ht="24.95" customHeight="1" x14ac:dyDescent="0.25">
      <c r="A29" s="12">
        <f t="shared" si="4"/>
        <v>26</v>
      </c>
      <c r="B29" s="2" t="s">
        <v>716</v>
      </c>
      <c r="C29" s="2" t="str">
        <f>'LIST OF LINES'!B15</f>
        <v>65-40-SS-SW-12</v>
      </c>
      <c r="D29" s="2" t="s">
        <v>743</v>
      </c>
      <c r="E29" s="2"/>
      <c r="F29" s="2" t="s">
        <v>744</v>
      </c>
      <c r="G29" s="2" t="s">
        <v>719</v>
      </c>
      <c r="H29" s="90" t="s">
        <v>437</v>
      </c>
      <c r="I29" s="90"/>
      <c r="J29" s="90">
        <f t="shared" si="0"/>
        <v>3500</v>
      </c>
      <c r="K29" s="90"/>
      <c r="L29" s="90"/>
      <c r="M29" s="90">
        <f t="shared" si="1"/>
        <v>36.450000000000003</v>
      </c>
      <c r="N29" s="90"/>
      <c r="O29" s="90"/>
      <c r="P29" s="90">
        <f t="shared" si="2"/>
        <v>11880</v>
      </c>
      <c r="Q29" s="90"/>
      <c r="R29" s="90"/>
      <c r="S29" s="90">
        <f t="shared" si="3"/>
        <v>39504.431630128689</v>
      </c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</row>
    <row r="30" spans="1:32" ht="24.95" customHeight="1" x14ac:dyDescent="0.25">
      <c r="A30" s="12">
        <f t="shared" si="4"/>
        <v>27</v>
      </c>
      <c r="B30" s="2" t="s">
        <v>716</v>
      </c>
      <c r="C30" s="2" t="str">
        <f>'LIST OF LINES'!B15</f>
        <v>65-40-SS-SW-12</v>
      </c>
      <c r="D30" s="2" t="s">
        <v>745</v>
      </c>
      <c r="E30" s="2"/>
      <c r="F30" s="2" t="s">
        <v>746</v>
      </c>
      <c r="G30" s="2" t="s">
        <v>707</v>
      </c>
      <c r="H30" s="90" t="s">
        <v>437</v>
      </c>
      <c r="I30" s="90"/>
      <c r="J30" s="90">
        <f t="shared" si="0"/>
        <v>3500</v>
      </c>
      <c r="K30" s="90"/>
      <c r="L30" s="90"/>
      <c r="M30" s="90">
        <f t="shared" si="1"/>
        <v>36.450000000000003</v>
      </c>
      <c r="N30" s="90"/>
      <c r="O30" s="90"/>
      <c r="P30" s="90">
        <f t="shared" si="2"/>
        <v>11880</v>
      </c>
      <c r="Q30" s="90"/>
      <c r="R30" s="90"/>
      <c r="S30" s="90">
        <f t="shared" si="3"/>
        <v>39504.431630128689</v>
      </c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</row>
    <row r="31" spans="1:32" ht="24.95" customHeight="1" x14ac:dyDescent="0.25">
      <c r="A31" s="12">
        <f t="shared" si="4"/>
        <v>28</v>
      </c>
      <c r="B31" s="2" t="s">
        <v>681</v>
      </c>
      <c r="C31" s="2" t="str">
        <f>'LIST OF LINES'!B17</f>
        <v>100-40-SS-SW-14</v>
      </c>
      <c r="D31" s="2" t="s">
        <v>747</v>
      </c>
      <c r="E31" s="2" t="s">
        <v>748</v>
      </c>
      <c r="F31" s="2" t="s">
        <v>749</v>
      </c>
      <c r="G31" s="2" t="s">
        <v>685</v>
      </c>
      <c r="H31" s="90" t="s">
        <v>437</v>
      </c>
      <c r="I31" s="90"/>
      <c r="J31" s="90">
        <f t="shared" si="0"/>
        <v>3500</v>
      </c>
      <c r="K31" s="90"/>
      <c r="L31" s="90"/>
      <c r="M31" s="90">
        <f t="shared" si="1"/>
        <v>33.909379761997002</v>
      </c>
      <c r="N31" s="90"/>
      <c r="O31" s="90"/>
      <c r="P31" s="90">
        <f t="shared" si="2"/>
        <v>39600</v>
      </c>
      <c r="Q31" s="90"/>
      <c r="R31" s="90"/>
      <c r="S31" s="90">
        <f t="shared" si="3"/>
        <v>39504.431630128689</v>
      </c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</row>
    <row r="32" spans="1:32" ht="24.95" customHeight="1" x14ac:dyDescent="0.25">
      <c r="A32" s="12">
        <f t="shared" si="4"/>
        <v>29</v>
      </c>
      <c r="B32" s="2" t="s">
        <v>681</v>
      </c>
      <c r="C32" s="2" t="str">
        <f>'LIST OF LINES'!B17</f>
        <v>100-40-SS-SW-14</v>
      </c>
      <c r="D32" s="2" t="s">
        <v>750</v>
      </c>
      <c r="E32" s="2"/>
      <c r="F32" s="2" t="s">
        <v>749</v>
      </c>
      <c r="G32" s="2" t="s">
        <v>702</v>
      </c>
      <c r="H32" s="90" t="s">
        <v>437</v>
      </c>
      <c r="I32" s="90"/>
      <c r="J32" s="90">
        <f t="shared" si="0"/>
        <v>3500</v>
      </c>
      <c r="K32" s="90"/>
      <c r="L32" s="90"/>
      <c r="M32" s="90">
        <f t="shared" si="1"/>
        <v>33.909379761997002</v>
      </c>
      <c r="N32" s="90"/>
      <c r="O32" s="90"/>
      <c r="P32" s="90">
        <f t="shared" si="2"/>
        <v>39600</v>
      </c>
      <c r="Q32" s="90"/>
      <c r="R32" s="90"/>
      <c r="S32" s="90">
        <f t="shared" si="3"/>
        <v>39504.431630128689</v>
      </c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</row>
    <row r="33" spans="1:32" ht="24.95" customHeight="1" x14ac:dyDescent="0.25">
      <c r="A33" s="12">
        <f t="shared" si="4"/>
        <v>30</v>
      </c>
      <c r="B33" s="2" t="s">
        <v>681</v>
      </c>
      <c r="C33" s="2" t="str">
        <f>'LIST OF LINES'!B17</f>
        <v>100-40-SS-SW-14</v>
      </c>
      <c r="D33" s="2" t="s">
        <v>751</v>
      </c>
      <c r="E33" s="2"/>
      <c r="F33" s="2" t="s">
        <v>749</v>
      </c>
      <c r="G33" s="2" t="s">
        <v>705</v>
      </c>
      <c r="H33" s="90" t="s">
        <v>437</v>
      </c>
      <c r="I33" s="90"/>
      <c r="J33" s="90">
        <f t="shared" si="0"/>
        <v>3500</v>
      </c>
      <c r="K33" s="90"/>
      <c r="L33" s="90"/>
      <c r="M33" s="90">
        <f t="shared" si="1"/>
        <v>33.909379761997002</v>
      </c>
      <c r="N33" s="90"/>
      <c r="O33" s="90"/>
      <c r="P33" s="90">
        <f t="shared" si="2"/>
        <v>39600</v>
      </c>
      <c r="Q33" s="90"/>
      <c r="R33" s="90"/>
      <c r="S33" s="90">
        <f t="shared" si="3"/>
        <v>39504.431630128689</v>
      </c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</row>
    <row r="34" spans="1:32" ht="24.95" customHeight="1" x14ac:dyDescent="0.25">
      <c r="A34" s="12">
        <f t="shared" si="4"/>
        <v>31</v>
      </c>
      <c r="B34" s="2" t="s">
        <v>716</v>
      </c>
      <c r="C34" s="2" t="str">
        <f>'LIST OF LINES'!B18</f>
        <v>65-40-SS-SW-15</v>
      </c>
      <c r="D34" s="2" t="s">
        <v>752</v>
      </c>
      <c r="E34" s="2"/>
      <c r="F34" s="2" t="s">
        <v>753</v>
      </c>
      <c r="G34" s="2" t="s">
        <v>719</v>
      </c>
      <c r="H34" s="90" t="s">
        <v>437</v>
      </c>
      <c r="I34" s="90"/>
      <c r="J34" s="90">
        <f t="shared" si="0"/>
        <v>3500</v>
      </c>
      <c r="K34" s="90"/>
      <c r="L34" s="90"/>
      <c r="M34" s="90">
        <f t="shared" si="1"/>
        <v>33.909379761997002</v>
      </c>
      <c r="N34" s="90"/>
      <c r="O34" s="90"/>
      <c r="P34" s="90">
        <f t="shared" si="2"/>
        <v>13200</v>
      </c>
      <c r="Q34" s="90"/>
      <c r="R34" s="90"/>
      <c r="S34" s="90">
        <f t="shared" si="3"/>
        <v>39504.431630128689</v>
      </c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</row>
    <row r="35" spans="1:32" ht="24.95" customHeight="1" x14ac:dyDescent="0.25">
      <c r="A35" s="12">
        <f t="shared" si="4"/>
        <v>32</v>
      </c>
      <c r="B35" s="2" t="s">
        <v>716</v>
      </c>
      <c r="C35" s="2" t="str">
        <f>'LIST OF LINES'!B18</f>
        <v>65-40-SS-SW-15</v>
      </c>
      <c r="D35" s="2" t="s">
        <v>754</v>
      </c>
      <c r="E35" s="2"/>
      <c r="F35" s="2" t="s">
        <v>755</v>
      </c>
      <c r="G35" s="2" t="s">
        <v>707</v>
      </c>
      <c r="H35" s="90" t="s">
        <v>437</v>
      </c>
      <c r="I35" s="90"/>
      <c r="J35" s="90">
        <f t="shared" si="0"/>
        <v>3500</v>
      </c>
      <c r="K35" s="90"/>
      <c r="L35" s="90"/>
      <c r="M35" s="90">
        <f t="shared" si="1"/>
        <v>33.909379761997002</v>
      </c>
      <c r="N35" s="90"/>
      <c r="O35" s="90"/>
      <c r="P35" s="90">
        <f t="shared" si="2"/>
        <v>13200</v>
      </c>
      <c r="Q35" s="90"/>
      <c r="R35" s="90"/>
      <c r="S35" s="90">
        <f t="shared" si="3"/>
        <v>39504.431630128689</v>
      </c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</row>
    <row r="36" spans="1:32" ht="24.95" customHeight="1" x14ac:dyDescent="0.25">
      <c r="A36" s="12">
        <f t="shared" si="4"/>
        <v>33</v>
      </c>
      <c r="B36" s="2" t="s">
        <v>716</v>
      </c>
      <c r="C36" s="2" t="str">
        <f>'LIST OF LINES'!B19</f>
        <v>65-40-SS-SW-16</v>
      </c>
      <c r="D36" s="2" t="s">
        <v>756</v>
      </c>
      <c r="E36" s="2"/>
      <c r="F36" s="2" t="s">
        <v>757</v>
      </c>
      <c r="G36" s="2" t="s">
        <v>719</v>
      </c>
      <c r="H36" s="90" t="s">
        <v>437</v>
      </c>
      <c r="I36" s="90"/>
      <c r="J36" s="90">
        <f t="shared" si="0"/>
        <v>3500</v>
      </c>
      <c r="K36" s="90"/>
      <c r="L36" s="90"/>
      <c r="M36" s="90">
        <f t="shared" si="1"/>
        <v>33.909379761997002</v>
      </c>
      <c r="N36" s="90"/>
      <c r="O36" s="90"/>
      <c r="P36" s="90">
        <f t="shared" si="2"/>
        <v>13200</v>
      </c>
      <c r="Q36" s="90"/>
      <c r="R36" s="90"/>
      <c r="S36" s="90">
        <f t="shared" si="3"/>
        <v>39504.431630128689</v>
      </c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</row>
    <row r="37" spans="1:32" ht="24.95" customHeight="1" x14ac:dyDescent="0.25">
      <c r="A37" s="12">
        <f t="shared" si="4"/>
        <v>34</v>
      </c>
      <c r="B37" s="2" t="s">
        <v>716</v>
      </c>
      <c r="C37" s="2" t="str">
        <f>'LIST OF LINES'!B19</f>
        <v>65-40-SS-SW-16</v>
      </c>
      <c r="D37" s="2" t="s">
        <v>758</v>
      </c>
      <c r="E37" s="2"/>
      <c r="F37" s="2" t="s">
        <v>759</v>
      </c>
      <c r="G37" s="2" t="s">
        <v>707</v>
      </c>
      <c r="H37" s="90" t="s">
        <v>437</v>
      </c>
      <c r="I37" s="90"/>
      <c r="J37" s="90">
        <f t="shared" si="0"/>
        <v>3500</v>
      </c>
      <c r="K37" s="90"/>
      <c r="L37" s="90"/>
      <c r="M37" s="90">
        <f t="shared" si="1"/>
        <v>33.909379761997002</v>
      </c>
      <c r="N37" s="90"/>
      <c r="O37" s="90"/>
      <c r="P37" s="90">
        <f t="shared" si="2"/>
        <v>13200</v>
      </c>
      <c r="Q37" s="90"/>
      <c r="R37" s="90"/>
      <c r="S37" s="90">
        <f t="shared" si="3"/>
        <v>39504.431630128689</v>
      </c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</row>
    <row r="38" spans="1:32" ht="24.95" customHeight="1" x14ac:dyDescent="0.25">
      <c r="A38" s="12">
        <f t="shared" si="4"/>
        <v>35</v>
      </c>
      <c r="B38" s="2" t="s">
        <v>716</v>
      </c>
      <c r="C38" s="2" t="str">
        <f>'LIST OF LINES'!B20</f>
        <v>65-40-SS-SW-17</v>
      </c>
      <c r="D38" s="2" t="s">
        <v>760</v>
      </c>
      <c r="E38" s="2"/>
      <c r="F38" s="2" t="s">
        <v>761</v>
      </c>
      <c r="G38" s="2" t="s">
        <v>719</v>
      </c>
      <c r="H38" s="90" t="s">
        <v>437</v>
      </c>
      <c r="I38" s="90"/>
      <c r="J38" s="90">
        <f t="shared" si="0"/>
        <v>3500</v>
      </c>
      <c r="K38" s="90"/>
      <c r="L38" s="90"/>
      <c r="M38" s="90">
        <f t="shared" si="1"/>
        <v>33.909379761997002</v>
      </c>
      <c r="N38" s="90"/>
      <c r="O38" s="90"/>
      <c r="P38" s="90">
        <f t="shared" si="2"/>
        <v>13200</v>
      </c>
      <c r="Q38" s="90"/>
      <c r="R38" s="90"/>
      <c r="S38" s="90">
        <f t="shared" si="3"/>
        <v>39504.431630128689</v>
      </c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</row>
    <row r="39" spans="1:32" ht="24.95" customHeight="1" x14ac:dyDescent="0.25">
      <c r="A39" s="12">
        <f t="shared" si="4"/>
        <v>36</v>
      </c>
      <c r="B39" s="2" t="s">
        <v>716</v>
      </c>
      <c r="C39" s="2" t="str">
        <f>'LIST OF LINES'!B20</f>
        <v>65-40-SS-SW-17</v>
      </c>
      <c r="D39" s="2" t="s">
        <v>762</v>
      </c>
      <c r="E39" s="2"/>
      <c r="F39" s="2" t="s">
        <v>763</v>
      </c>
      <c r="G39" s="2" t="s">
        <v>707</v>
      </c>
      <c r="H39" s="90" t="s">
        <v>437</v>
      </c>
      <c r="I39" s="90"/>
      <c r="J39" s="90">
        <f t="shared" si="0"/>
        <v>3500</v>
      </c>
      <c r="K39" s="90"/>
      <c r="L39" s="90"/>
      <c r="M39" s="90">
        <f t="shared" si="1"/>
        <v>33.909379761997002</v>
      </c>
      <c r="N39" s="90"/>
      <c r="O39" s="90"/>
      <c r="P39" s="90">
        <f t="shared" si="2"/>
        <v>13200</v>
      </c>
      <c r="Q39" s="90"/>
      <c r="R39" s="90"/>
      <c r="S39" s="90">
        <f t="shared" si="3"/>
        <v>39504.431630128689</v>
      </c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</row>
    <row r="40" spans="1:32" ht="24.95" customHeight="1" x14ac:dyDescent="0.25">
      <c r="A40" s="12">
        <f t="shared" si="4"/>
        <v>37</v>
      </c>
      <c r="B40" s="2" t="s">
        <v>716</v>
      </c>
      <c r="C40" s="2" t="str">
        <f>LIST_OF_EQUIPMENT!$B$5</f>
        <v>MED - E1</v>
      </c>
      <c r="D40" s="2" t="s">
        <v>764</v>
      </c>
      <c r="E40" s="2"/>
      <c r="F40" s="2" t="s">
        <v>765</v>
      </c>
      <c r="G40" s="2" t="s">
        <v>766</v>
      </c>
      <c r="H40" s="90" t="s">
        <v>456</v>
      </c>
      <c r="I40" s="90"/>
      <c r="J40" s="90">
        <f t="shared" si="0"/>
        <v>320.45999999999998</v>
      </c>
      <c r="K40" s="90"/>
      <c r="L40" s="90"/>
      <c r="M40" s="90">
        <f t="shared" si="1"/>
        <v>70.599999999999994</v>
      </c>
      <c r="N40" s="90"/>
      <c r="O40" s="90"/>
      <c r="P40" s="90" t="str">
        <f t="shared" si="2"/>
        <v/>
      </c>
      <c r="Q40" s="90"/>
      <c r="R40" s="90"/>
      <c r="S40" s="90" t="str">
        <f t="shared" si="3"/>
        <v/>
      </c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</row>
    <row r="41" spans="1:32" ht="24.95" customHeight="1" x14ac:dyDescent="0.25">
      <c r="A41" s="12">
        <f t="shared" si="4"/>
        <v>38</v>
      </c>
      <c r="B41" s="2" t="s">
        <v>716</v>
      </c>
      <c r="C41" s="2" t="str">
        <f>LIST_OF_EQUIPMENT!$B$5</f>
        <v>MED - E1</v>
      </c>
      <c r="D41" s="2" t="s">
        <v>767</v>
      </c>
      <c r="E41" s="2" t="s">
        <v>768</v>
      </c>
      <c r="F41" s="2" t="s">
        <v>765</v>
      </c>
      <c r="G41" s="2" t="s">
        <v>769</v>
      </c>
      <c r="H41" s="90" t="s">
        <v>456</v>
      </c>
      <c r="I41" s="90"/>
      <c r="J41" s="90">
        <f t="shared" si="0"/>
        <v>320.45999999999998</v>
      </c>
      <c r="K41" s="90"/>
      <c r="L41" s="90"/>
      <c r="M41" s="90">
        <f t="shared" si="1"/>
        <v>70.599999999999994</v>
      </c>
      <c r="N41" s="90"/>
      <c r="O41" s="90"/>
      <c r="P41" s="90" t="str">
        <f t="shared" si="2"/>
        <v/>
      </c>
      <c r="Q41" s="90"/>
      <c r="R41" s="90"/>
      <c r="S41" s="90" t="str">
        <f t="shared" si="3"/>
        <v/>
      </c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</row>
    <row r="42" spans="1:32" ht="24.95" customHeight="1" x14ac:dyDescent="0.25">
      <c r="A42" s="12">
        <f t="shared" si="4"/>
        <v>39</v>
      </c>
      <c r="B42" s="2" t="s">
        <v>716</v>
      </c>
      <c r="C42" s="2" t="str">
        <f>LIST_OF_EQUIPMENT!$B$5</f>
        <v>MED - E1</v>
      </c>
      <c r="D42" s="2" t="s">
        <v>770</v>
      </c>
      <c r="E42" s="2"/>
      <c r="F42" s="2" t="s">
        <v>771</v>
      </c>
      <c r="G42" s="2" t="s">
        <v>772</v>
      </c>
      <c r="H42" s="90" t="s">
        <v>456</v>
      </c>
      <c r="I42" s="90"/>
      <c r="J42" s="90">
        <f t="shared" si="0"/>
        <v>320.45999999999998</v>
      </c>
      <c r="K42" s="90"/>
      <c r="L42" s="90"/>
      <c r="M42" s="90">
        <f t="shared" si="1"/>
        <v>70.599999999999994</v>
      </c>
      <c r="N42" s="90"/>
      <c r="O42" s="90"/>
      <c r="P42" s="90" t="str">
        <f t="shared" si="2"/>
        <v/>
      </c>
      <c r="Q42" s="90"/>
      <c r="R42" s="90"/>
      <c r="S42" s="90" t="str">
        <f t="shared" si="3"/>
        <v/>
      </c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</row>
    <row r="43" spans="1:32" ht="24.95" customHeight="1" x14ac:dyDescent="0.25">
      <c r="A43" s="12">
        <f t="shared" si="4"/>
        <v>40</v>
      </c>
      <c r="B43" s="2" t="s">
        <v>716</v>
      </c>
      <c r="C43" s="2" t="str">
        <f>LIST_OF_EQUIPMENT!$B$5</f>
        <v>MED - E1</v>
      </c>
      <c r="D43" s="2" t="s">
        <v>773</v>
      </c>
      <c r="E43" s="2"/>
      <c r="F43" s="2" t="s">
        <v>774</v>
      </c>
      <c r="G43" s="2" t="s">
        <v>775</v>
      </c>
      <c r="H43" s="90" t="s">
        <v>456</v>
      </c>
      <c r="I43" s="90"/>
      <c r="J43" s="90">
        <f t="shared" si="0"/>
        <v>320.45999999999998</v>
      </c>
      <c r="K43" s="90"/>
      <c r="L43" s="90"/>
      <c r="M43" s="90">
        <f t="shared" si="1"/>
        <v>70.599999999999994</v>
      </c>
      <c r="N43" s="90"/>
      <c r="O43" s="90"/>
      <c r="P43" s="90" t="str">
        <f t="shared" si="2"/>
        <v/>
      </c>
      <c r="Q43" s="90"/>
      <c r="R43" s="90"/>
      <c r="S43" s="90" t="str">
        <f t="shared" si="3"/>
        <v/>
      </c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</row>
    <row r="44" spans="1:32" ht="24.95" customHeight="1" x14ac:dyDescent="0.25">
      <c r="A44" s="12">
        <f t="shared" si="4"/>
        <v>41</v>
      </c>
      <c r="B44" s="2" t="s">
        <v>716</v>
      </c>
      <c r="C44" s="2" t="str">
        <f>'LIST OF LINES'!B22</f>
        <v>150-40-SS-BW-01</v>
      </c>
      <c r="D44" s="2" t="s">
        <v>776</v>
      </c>
      <c r="E44" s="2"/>
      <c r="F44" s="2" t="s">
        <v>777</v>
      </c>
      <c r="G44" s="2" t="s">
        <v>702</v>
      </c>
      <c r="H44" s="90" t="s">
        <v>456</v>
      </c>
      <c r="I44" s="90"/>
      <c r="J44" s="90">
        <f t="shared" si="0"/>
        <v>259.39999999999998</v>
      </c>
      <c r="K44" s="90"/>
      <c r="L44" s="90"/>
      <c r="M44" s="90">
        <f t="shared" si="1"/>
        <v>66.55</v>
      </c>
      <c r="N44" s="90"/>
      <c r="O44" s="90"/>
      <c r="P44" s="90">
        <f t="shared" si="2"/>
        <v>14652</v>
      </c>
      <c r="Q44" s="90"/>
      <c r="R44" s="90"/>
      <c r="S44" s="90">
        <f t="shared" si="3"/>
        <v>63600</v>
      </c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</row>
    <row r="45" spans="1:32" ht="24.95" customHeight="1" x14ac:dyDescent="0.25">
      <c r="A45" s="12">
        <f t="shared" si="4"/>
        <v>42</v>
      </c>
      <c r="B45" s="2" t="s">
        <v>716</v>
      </c>
      <c r="C45" s="2" t="str">
        <f>'LIST OF LINES'!B22</f>
        <v>150-40-SS-BW-01</v>
      </c>
      <c r="D45" s="2" t="s">
        <v>778</v>
      </c>
      <c r="E45" s="2"/>
      <c r="F45" s="2" t="s">
        <v>777</v>
      </c>
      <c r="G45" s="2" t="s">
        <v>705</v>
      </c>
      <c r="H45" s="90" t="s">
        <v>456</v>
      </c>
      <c r="I45" s="90"/>
      <c r="J45" s="90">
        <f t="shared" si="0"/>
        <v>259.39999999999998</v>
      </c>
      <c r="K45" s="90"/>
      <c r="L45" s="90"/>
      <c r="M45" s="90">
        <f t="shared" si="1"/>
        <v>66.55</v>
      </c>
      <c r="N45" s="90"/>
      <c r="O45" s="90"/>
      <c r="P45" s="90">
        <f t="shared" si="2"/>
        <v>14652</v>
      </c>
      <c r="Q45" s="90"/>
      <c r="R45" s="90"/>
      <c r="S45" s="90">
        <f t="shared" si="3"/>
        <v>63600</v>
      </c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</row>
    <row r="46" spans="1:32" ht="24.95" customHeight="1" x14ac:dyDescent="0.25">
      <c r="A46" s="12">
        <f t="shared" si="4"/>
        <v>43</v>
      </c>
      <c r="B46" s="2" t="s">
        <v>681</v>
      </c>
      <c r="C46" s="2" t="str">
        <f>LIST_OF_EQUIPMENT!$A$17</f>
        <v>Brine Tank</v>
      </c>
      <c r="D46" s="2" t="s">
        <v>779</v>
      </c>
      <c r="E46" s="2"/>
      <c r="F46" s="2" t="s">
        <v>780</v>
      </c>
      <c r="G46" s="2" t="s">
        <v>766</v>
      </c>
      <c r="H46" s="90" t="s">
        <v>456</v>
      </c>
      <c r="I46" s="90"/>
      <c r="J46" s="90">
        <f t="shared" si="0"/>
        <v>68</v>
      </c>
      <c r="K46" s="90"/>
      <c r="L46" s="90"/>
      <c r="M46" s="90">
        <f t="shared" si="1"/>
        <v>39</v>
      </c>
      <c r="N46" s="90"/>
      <c r="O46" s="90"/>
      <c r="P46" s="90" t="str">
        <f t="shared" si="2"/>
        <v/>
      </c>
      <c r="Q46" s="90"/>
      <c r="R46" s="90"/>
      <c r="S46" s="90" t="str">
        <f t="shared" si="3"/>
        <v/>
      </c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</row>
    <row r="47" spans="1:32" ht="24.95" customHeight="1" x14ac:dyDescent="0.25">
      <c r="A47" s="12">
        <f t="shared" si="4"/>
        <v>44</v>
      </c>
      <c r="B47" s="2" t="s">
        <v>681</v>
      </c>
      <c r="C47" s="2" t="str">
        <f>LIST_OF_EQUIPMENT!$A$17</f>
        <v>Brine Tank</v>
      </c>
      <c r="D47" s="2" t="s">
        <v>781</v>
      </c>
      <c r="E47" s="2" t="s">
        <v>782</v>
      </c>
      <c r="F47" s="2" t="s">
        <v>780</v>
      </c>
      <c r="G47" s="2" t="s">
        <v>769</v>
      </c>
      <c r="H47" s="90" t="s">
        <v>456</v>
      </c>
      <c r="I47" s="90"/>
      <c r="J47" s="90">
        <f t="shared" si="0"/>
        <v>68</v>
      </c>
      <c r="K47" s="90"/>
      <c r="L47" s="90"/>
      <c r="M47" s="90">
        <f t="shared" si="1"/>
        <v>39</v>
      </c>
      <c r="N47" s="90"/>
      <c r="O47" s="90"/>
      <c r="P47" s="90" t="str">
        <f t="shared" si="2"/>
        <v/>
      </c>
      <c r="Q47" s="90"/>
      <c r="R47" s="90"/>
      <c r="S47" s="90" t="str">
        <f t="shared" si="3"/>
        <v/>
      </c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</row>
    <row r="48" spans="1:32" ht="24.95" customHeight="1" x14ac:dyDescent="0.25">
      <c r="A48" s="12">
        <f t="shared" si="4"/>
        <v>45</v>
      </c>
      <c r="B48" s="2" t="s">
        <v>681</v>
      </c>
      <c r="C48" s="2" t="str">
        <f>LIST_OF_EQUIPMENT!$A$17</f>
        <v>Brine Tank</v>
      </c>
      <c r="D48" s="2" t="s">
        <v>783</v>
      </c>
      <c r="E48" s="2"/>
      <c r="F48" s="2" t="s">
        <v>784</v>
      </c>
      <c r="G48" s="2" t="s">
        <v>772</v>
      </c>
      <c r="H48" s="90" t="s">
        <v>456</v>
      </c>
      <c r="I48" s="90"/>
      <c r="J48" s="90">
        <f t="shared" si="0"/>
        <v>68</v>
      </c>
      <c r="K48" s="90"/>
      <c r="L48" s="90"/>
      <c r="M48" s="90">
        <f t="shared" si="1"/>
        <v>39</v>
      </c>
      <c r="N48" s="90"/>
      <c r="O48" s="90"/>
      <c r="P48" s="90" t="str">
        <f t="shared" si="2"/>
        <v/>
      </c>
      <c r="Q48" s="90"/>
      <c r="R48" s="90"/>
      <c r="S48" s="90" t="str">
        <f t="shared" si="3"/>
        <v/>
      </c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</row>
    <row r="49" spans="1:32" ht="24.95" customHeight="1" x14ac:dyDescent="0.25">
      <c r="A49" s="12">
        <f t="shared" si="4"/>
        <v>46</v>
      </c>
      <c r="B49" s="2" t="s">
        <v>681</v>
      </c>
      <c r="C49" s="2" t="str">
        <f>LIST_OF_EQUIPMENT!$A$17</f>
        <v>Brine Tank</v>
      </c>
      <c r="D49" s="2" t="s">
        <v>785</v>
      </c>
      <c r="E49" s="2"/>
      <c r="F49" s="2" t="s">
        <v>786</v>
      </c>
      <c r="G49" s="2" t="s">
        <v>775</v>
      </c>
      <c r="H49" s="90" t="s">
        <v>456</v>
      </c>
      <c r="I49" s="90"/>
      <c r="J49" s="90">
        <f t="shared" si="0"/>
        <v>68</v>
      </c>
      <c r="K49" s="90"/>
      <c r="L49" s="90"/>
      <c r="M49" s="90">
        <f t="shared" si="1"/>
        <v>39</v>
      </c>
      <c r="N49" s="90"/>
      <c r="O49" s="90"/>
      <c r="P49" s="90" t="str">
        <f t="shared" si="2"/>
        <v/>
      </c>
      <c r="Q49" s="90"/>
      <c r="R49" s="90"/>
      <c r="S49" s="90" t="str">
        <f t="shared" si="3"/>
        <v/>
      </c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</row>
    <row r="50" spans="1:32" ht="24.95" customHeight="1" x14ac:dyDescent="0.25">
      <c r="A50" s="12">
        <f t="shared" si="4"/>
        <v>47</v>
      </c>
      <c r="B50" s="2" t="s">
        <v>681</v>
      </c>
      <c r="C50" s="2" t="str">
        <f>'LIST OF LINES'!$B$32</f>
        <v>XX-XX-SS-BW-11</v>
      </c>
      <c r="D50" s="2" t="s">
        <v>787</v>
      </c>
      <c r="E50" s="2" t="s">
        <v>788</v>
      </c>
      <c r="F50" s="2" t="s">
        <v>789</v>
      </c>
      <c r="G50" s="2" t="s">
        <v>689</v>
      </c>
      <c r="H50" s="90" t="s">
        <v>456</v>
      </c>
      <c r="I50" s="90"/>
      <c r="J50" s="90">
        <f t="shared" si="0"/>
        <v>2500</v>
      </c>
      <c r="K50" s="90"/>
      <c r="L50" s="90"/>
      <c r="M50" s="90">
        <f t="shared" si="1"/>
        <v>37.447389715745032</v>
      </c>
      <c r="N50" s="90"/>
      <c r="O50" s="90"/>
      <c r="P50" s="90" t="str">
        <f t="shared" si="2"/>
        <v/>
      </c>
      <c r="Q50" s="90"/>
      <c r="R50" s="90"/>
      <c r="S50" s="90">
        <f t="shared" si="3"/>
        <v>0</v>
      </c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</row>
    <row r="51" spans="1:32" ht="24.95" customHeight="1" x14ac:dyDescent="0.25">
      <c r="A51" s="12">
        <f t="shared" si="4"/>
        <v>48</v>
      </c>
      <c r="B51" s="2" t="s">
        <v>681</v>
      </c>
      <c r="C51" s="2" t="str">
        <f>'LIST OF LINES'!$B$32</f>
        <v>XX-XX-SS-BW-11</v>
      </c>
      <c r="D51" s="2" t="s">
        <v>790</v>
      </c>
      <c r="E51" s="2" t="s">
        <v>791</v>
      </c>
      <c r="F51" s="2" t="s">
        <v>792</v>
      </c>
      <c r="G51" s="2" t="s">
        <v>689</v>
      </c>
      <c r="H51" s="90" t="s">
        <v>456</v>
      </c>
      <c r="I51" s="90"/>
      <c r="J51" s="90">
        <f t="shared" si="0"/>
        <v>2500</v>
      </c>
      <c r="K51" s="90"/>
      <c r="L51" s="90"/>
      <c r="M51" s="90">
        <f t="shared" si="1"/>
        <v>37.447389715745032</v>
      </c>
      <c r="N51" s="90"/>
      <c r="O51" s="90"/>
      <c r="P51" s="90" t="str">
        <f t="shared" si="2"/>
        <v/>
      </c>
      <c r="Q51" s="90"/>
      <c r="R51" s="90"/>
      <c r="S51" s="90">
        <f t="shared" si="3"/>
        <v>0</v>
      </c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</row>
    <row r="52" spans="1:32" ht="24.95" customHeight="1" x14ac:dyDescent="0.25">
      <c r="A52" s="12">
        <f t="shared" si="4"/>
        <v>49</v>
      </c>
      <c r="B52" s="2" t="s">
        <v>681</v>
      </c>
      <c r="C52" s="2" t="str">
        <f>'LIST OF LINES'!$B$32</f>
        <v>XX-XX-SS-BW-11</v>
      </c>
      <c r="D52" s="2" t="s">
        <v>793</v>
      </c>
      <c r="E52" s="2" t="s">
        <v>794</v>
      </c>
      <c r="F52" s="2" t="s">
        <v>795</v>
      </c>
      <c r="G52" s="2" t="s">
        <v>696</v>
      </c>
      <c r="H52" s="90" t="s">
        <v>456</v>
      </c>
      <c r="I52" s="90"/>
      <c r="J52" s="90">
        <f t="shared" si="0"/>
        <v>2500</v>
      </c>
      <c r="K52" s="90"/>
      <c r="L52" s="90"/>
      <c r="M52" s="90">
        <f t="shared" si="1"/>
        <v>37.447389715745032</v>
      </c>
      <c r="N52" s="90"/>
      <c r="O52" s="90"/>
      <c r="P52" s="90" t="str">
        <f t="shared" si="2"/>
        <v/>
      </c>
      <c r="Q52" s="90"/>
      <c r="R52" s="90"/>
      <c r="S52" s="90">
        <f t="shared" si="3"/>
        <v>0</v>
      </c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</row>
    <row r="53" spans="1:32" ht="24.95" customHeight="1" x14ac:dyDescent="0.25">
      <c r="A53" s="12">
        <f t="shared" si="4"/>
        <v>50</v>
      </c>
      <c r="B53" s="2" t="s">
        <v>681</v>
      </c>
      <c r="C53" s="2" t="str">
        <f>'LIST OF LINES'!$B$32</f>
        <v>XX-XX-SS-BW-11</v>
      </c>
      <c r="D53" s="2" t="s">
        <v>796</v>
      </c>
      <c r="E53" s="2" t="s">
        <v>797</v>
      </c>
      <c r="F53" s="2" t="s">
        <v>795</v>
      </c>
      <c r="G53" s="2" t="s">
        <v>685</v>
      </c>
      <c r="H53" s="90" t="s">
        <v>456</v>
      </c>
      <c r="I53" s="90"/>
      <c r="J53" s="90">
        <f t="shared" si="0"/>
        <v>2500</v>
      </c>
      <c r="K53" s="90"/>
      <c r="L53" s="90"/>
      <c r="M53" s="90">
        <f t="shared" si="1"/>
        <v>37.447389715745032</v>
      </c>
      <c r="N53" s="90"/>
      <c r="O53" s="90"/>
      <c r="P53" s="90" t="str">
        <f t="shared" si="2"/>
        <v/>
      </c>
      <c r="Q53" s="90"/>
      <c r="R53" s="90"/>
      <c r="S53" s="90">
        <f t="shared" si="3"/>
        <v>0</v>
      </c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</row>
    <row r="54" spans="1:32" ht="24.95" customHeight="1" x14ac:dyDescent="0.25">
      <c r="A54" s="12">
        <f t="shared" si="4"/>
        <v>51</v>
      </c>
      <c r="B54" s="2" t="s">
        <v>681</v>
      </c>
      <c r="C54" s="2" t="str">
        <f>'LIST OF LINES'!$B$32</f>
        <v>XX-XX-SS-BW-11</v>
      </c>
      <c r="D54" s="2" t="s">
        <v>798</v>
      </c>
      <c r="E54" s="2"/>
      <c r="F54" s="2" t="s">
        <v>795</v>
      </c>
      <c r="G54" s="2" t="s">
        <v>702</v>
      </c>
      <c r="H54" s="90" t="s">
        <v>456</v>
      </c>
      <c r="I54" s="90"/>
      <c r="J54" s="90">
        <f t="shared" si="0"/>
        <v>2500</v>
      </c>
      <c r="K54" s="90"/>
      <c r="L54" s="90"/>
      <c r="M54" s="90">
        <f t="shared" si="1"/>
        <v>37.447389715745032</v>
      </c>
      <c r="N54" s="90"/>
      <c r="O54" s="90"/>
      <c r="P54" s="90" t="str">
        <f t="shared" si="2"/>
        <v/>
      </c>
      <c r="Q54" s="90"/>
      <c r="R54" s="90"/>
      <c r="S54" s="90">
        <f t="shared" si="3"/>
        <v>0</v>
      </c>
      <c r="T54" s="90"/>
      <c r="U54" s="90"/>
      <c r="V54" s="90"/>
      <c r="W54" s="90"/>
      <c r="X54" s="90"/>
      <c r="Y54" s="90"/>
      <c r="Z54" s="90"/>
      <c r="AA54" s="90"/>
      <c r="AB54" s="90"/>
      <c r="AC54" s="90"/>
      <c r="AD54" s="90"/>
      <c r="AE54" s="90"/>
      <c r="AF54" s="90"/>
    </row>
    <row r="55" spans="1:32" ht="24.95" customHeight="1" x14ac:dyDescent="0.25">
      <c r="A55" s="12">
        <f t="shared" si="4"/>
        <v>52</v>
      </c>
      <c r="B55" s="2" t="s">
        <v>681</v>
      </c>
      <c r="C55" s="2" t="str">
        <f>'LIST OF LINES'!$B$32</f>
        <v>XX-XX-SS-BW-11</v>
      </c>
      <c r="D55" s="2" t="s">
        <v>799</v>
      </c>
      <c r="E55" s="2"/>
      <c r="F55" s="2" t="s">
        <v>795</v>
      </c>
      <c r="G55" s="2" t="s">
        <v>705</v>
      </c>
      <c r="H55" s="90" t="s">
        <v>456</v>
      </c>
      <c r="I55" s="90"/>
      <c r="J55" s="90">
        <f t="shared" si="0"/>
        <v>2500</v>
      </c>
      <c r="K55" s="90"/>
      <c r="L55" s="90"/>
      <c r="M55" s="90">
        <f t="shared" si="1"/>
        <v>37.447389715745032</v>
      </c>
      <c r="N55" s="90"/>
      <c r="O55" s="90"/>
      <c r="P55" s="90" t="str">
        <f t="shared" si="2"/>
        <v/>
      </c>
      <c r="Q55" s="90"/>
      <c r="R55" s="90"/>
      <c r="S55" s="90">
        <f t="shared" si="3"/>
        <v>0</v>
      </c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</row>
    <row r="56" spans="1:32" ht="24.95" customHeight="1" x14ac:dyDescent="0.25">
      <c r="A56" s="12">
        <f t="shared" si="4"/>
        <v>53</v>
      </c>
      <c r="B56" s="2" t="s">
        <v>681</v>
      </c>
      <c r="C56" s="2" t="str">
        <f>'LIST OF LINES'!$B$33</f>
        <v>200-40-SS-BW-12</v>
      </c>
      <c r="D56" s="2" t="s">
        <v>800</v>
      </c>
      <c r="E56" s="2" t="s">
        <v>801</v>
      </c>
      <c r="F56" s="2" t="s">
        <v>732</v>
      </c>
      <c r="G56" s="2" t="s">
        <v>685</v>
      </c>
      <c r="H56" s="90" t="s">
        <v>456</v>
      </c>
      <c r="I56" s="90"/>
      <c r="J56" s="90">
        <f t="shared" si="0"/>
        <v>2500</v>
      </c>
      <c r="K56" s="90"/>
      <c r="L56" s="90"/>
      <c r="M56" s="90">
        <f t="shared" si="1"/>
        <v>37.447389715745032</v>
      </c>
      <c r="N56" s="90"/>
      <c r="O56" s="90"/>
      <c r="P56" s="90" t="str">
        <f t="shared" si="2"/>
        <v/>
      </c>
      <c r="Q56" s="90"/>
      <c r="R56" s="90"/>
      <c r="S56" s="90">
        <f t="shared" si="3"/>
        <v>0</v>
      </c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</row>
    <row r="57" spans="1:32" ht="24.95" customHeight="1" x14ac:dyDescent="0.25">
      <c r="A57" s="12">
        <f t="shared" si="4"/>
        <v>54</v>
      </c>
      <c r="B57" s="2" t="s">
        <v>681</v>
      </c>
      <c r="C57" s="2" t="str">
        <f>'LIST OF LINES'!$B$33</f>
        <v>200-40-SS-BW-12</v>
      </c>
      <c r="D57" s="2" t="s">
        <v>802</v>
      </c>
      <c r="E57" s="2" t="s">
        <v>803</v>
      </c>
      <c r="F57" s="2" t="s">
        <v>732</v>
      </c>
      <c r="G57" s="2" t="s">
        <v>710</v>
      </c>
      <c r="H57" s="90" t="s">
        <v>456</v>
      </c>
      <c r="I57" s="90"/>
      <c r="J57" s="90">
        <f t="shared" si="0"/>
        <v>2500</v>
      </c>
      <c r="K57" s="90"/>
      <c r="L57" s="90"/>
      <c r="M57" s="90">
        <f t="shared" si="1"/>
        <v>37.447389715745032</v>
      </c>
      <c r="N57" s="90"/>
      <c r="O57" s="90"/>
      <c r="P57" s="90" t="str">
        <f t="shared" si="2"/>
        <v/>
      </c>
      <c r="Q57" s="90"/>
      <c r="R57" s="90"/>
      <c r="S57" s="90">
        <f t="shared" si="3"/>
        <v>0</v>
      </c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</row>
    <row r="58" spans="1:32" ht="24.95" customHeight="1" x14ac:dyDescent="0.25">
      <c r="A58" s="12">
        <f t="shared" si="4"/>
        <v>55</v>
      </c>
      <c r="B58" s="2" t="s">
        <v>681</v>
      </c>
      <c r="C58" s="2" t="str">
        <f>'LIST OF LINES'!$B$33</f>
        <v>200-40-SS-BW-12</v>
      </c>
      <c r="D58" s="2" t="s">
        <v>804</v>
      </c>
      <c r="E58" s="2"/>
      <c r="F58" s="2" t="s">
        <v>732</v>
      </c>
      <c r="G58" s="2" t="s">
        <v>702</v>
      </c>
      <c r="H58" s="90" t="s">
        <v>456</v>
      </c>
      <c r="I58" s="90"/>
      <c r="J58" s="90">
        <f t="shared" si="0"/>
        <v>2500</v>
      </c>
      <c r="K58" s="90"/>
      <c r="L58" s="90"/>
      <c r="M58" s="90">
        <f t="shared" si="1"/>
        <v>37.447389715745032</v>
      </c>
      <c r="N58" s="90"/>
      <c r="O58" s="90"/>
      <c r="P58" s="90" t="str">
        <f t="shared" si="2"/>
        <v/>
      </c>
      <c r="Q58" s="90"/>
      <c r="R58" s="90"/>
      <c r="S58" s="90">
        <f t="shared" si="3"/>
        <v>0</v>
      </c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</row>
    <row r="59" spans="1:32" ht="24.95" customHeight="1" x14ac:dyDescent="0.25">
      <c r="A59" s="12">
        <f t="shared" si="4"/>
        <v>56</v>
      </c>
      <c r="B59" s="2" t="s">
        <v>681</v>
      </c>
      <c r="C59" s="2" t="str">
        <f>'LIST OF LINES'!$B$33</f>
        <v>200-40-SS-BW-12</v>
      </c>
      <c r="D59" s="2" t="s">
        <v>805</v>
      </c>
      <c r="E59" s="2"/>
      <c r="F59" s="2" t="s">
        <v>732</v>
      </c>
      <c r="G59" s="2" t="s">
        <v>705</v>
      </c>
      <c r="H59" s="90" t="s">
        <v>456</v>
      </c>
      <c r="I59" s="90"/>
      <c r="J59" s="90">
        <f t="shared" si="0"/>
        <v>2500</v>
      </c>
      <c r="K59" s="90"/>
      <c r="L59" s="90"/>
      <c r="M59" s="90">
        <f t="shared" si="1"/>
        <v>37.447389715745032</v>
      </c>
      <c r="N59" s="90"/>
      <c r="O59" s="90"/>
      <c r="P59" s="90" t="str">
        <f t="shared" si="2"/>
        <v/>
      </c>
      <c r="Q59" s="90"/>
      <c r="R59" s="90"/>
      <c r="S59" s="90">
        <f t="shared" si="3"/>
        <v>0</v>
      </c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</row>
    <row r="60" spans="1:32" ht="24.95" customHeight="1" x14ac:dyDescent="0.25">
      <c r="A60" s="12">
        <f t="shared" si="4"/>
        <v>57</v>
      </c>
      <c r="B60" s="2" t="s">
        <v>681</v>
      </c>
      <c r="C60" s="2" t="str">
        <f>'LIST OF LINES'!$B$33</f>
        <v>200-40-SS-BW-12</v>
      </c>
      <c r="D60" s="2" t="s">
        <v>806</v>
      </c>
      <c r="E60" s="2"/>
      <c r="F60" s="2" t="s">
        <v>732</v>
      </c>
      <c r="G60" s="2" t="s">
        <v>719</v>
      </c>
      <c r="H60" s="90" t="s">
        <v>456</v>
      </c>
      <c r="I60" s="90"/>
      <c r="J60" s="90">
        <f t="shared" si="0"/>
        <v>2500</v>
      </c>
      <c r="K60" s="90"/>
      <c r="L60" s="90"/>
      <c r="M60" s="90">
        <f t="shared" si="1"/>
        <v>37.447389715745032</v>
      </c>
      <c r="N60" s="90"/>
      <c r="O60" s="90"/>
      <c r="P60" s="90" t="str">
        <f t="shared" si="2"/>
        <v/>
      </c>
      <c r="Q60" s="90"/>
      <c r="R60" s="90"/>
      <c r="S60" s="90">
        <f t="shared" si="3"/>
        <v>0</v>
      </c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</row>
    <row r="61" spans="1:32" ht="24.95" customHeight="1" x14ac:dyDescent="0.25">
      <c r="A61" s="12">
        <f t="shared" si="4"/>
        <v>58</v>
      </c>
      <c r="B61" s="2" t="s">
        <v>716</v>
      </c>
      <c r="C61" s="2" t="str">
        <f>'LIST OF LINES'!B34</f>
        <v>150-40-SS-BW-13</v>
      </c>
      <c r="D61" s="2" t="s">
        <v>807</v>
      </c>
      <c r="E61" s="2" t="s">
        <v>808</v>
      </c>
      <c r="F61" s="2" t="s">
        <v>809</v>
      </c>
      <c r="G61" s="2" t="s">
        <v>685</v>
      </c>
      <c r="H61" s="90" t="s">
        <v>456</v>
      </c>
      <c r="I61" s="90"/>
      <c r="J61" s="90">
        <f t="shared" si="0"/>
        <v>2500</v>
      </c>
      <c r="K61" s="90"/>
      <c r="L61" s="90"/>
      <c r="M61" s="90">
        <f t="shared" si="1"/>
        <v>37.447389715745032</v>
      </c>
      <c r="N61" s="90"/>
      <c r="O61" s="90"/>
      <c r="P61" s="90">
        <f t="shared" si="2"/>
        <v>68130</v>
      </c>
      <c r="Q61" s="90"/>
      <c r="R61" s="90"/>
      <c r="S61" s="90">
        <f t="shared" si="3"/>
        <v>60600</v>
      </c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</row>
    <row r="62" spans="1:32" ht="24.95" customHeight="1" x14ac:dyDescent="0.25">
      <c r="A62" s="12">
        <f t="shared" si="4"/>
        <v>59</v>
      </c>
      <c r="B62" s="2" t="s">
        <v>716</v>
      </c>
      <c r="C62" s="2" t="str">
        <f>'LIST OF LINES'!$B$36</f>
        <v>80-40-SS-BW-15</v>
      </c>
      <c r="D62" s="2" t="s">
        <v>810</v>
      </c>
      <c r="E62" s="2"/>
      <c r="F62" s="2" t="s">
        <v>718</v>
      </c>
      <c r="G62" s="2" t="s">
        <v>719</v>
      </c>
      <c r="H62" s="90" t="s">
        <v>456</v>
      </c>
      <c r="I62" s="90"/>
      <c r="J62" s="90">
        <f t="shared" si="0"/>
        <v>2500</v>
      </c>
      <c r="K62" s="90"/>
      <c r="L62" s="90"/>
      <c r="M62" s="90">
        <f t="shared" si="1"/>
        <v>37.447389715745032</v>
      </c>
      <c r="N62" s="90"/>
      <c r="O62" s="90"/>
      <c r="P62" s="90">
        <f t="shared" si="2"/>
        <v>6624</v>
      </c>
      <c r="Q62" s="90"/>
      <c r="R62" s="90"/>
      <c r="S62" s="90">
        <f t="shared" si="3"/>
        <v>60600</v>
      </c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</row>
    <row r="63" spans="1:32" ht="24.95" customHeight="1" x14ac:dyDescent="0.25">
      <c r="A63" s="12">
        <f t="shared" si="4"/>
        <v>60</v>
      </c>
      <c r="B63" s="2" t="s">
        <v>716</v>
      </c>
      <c r="C63" s="2" t="str">
        <f>'LIST OF LINES'!$B$36</f>
        <v>80-40-SS-BW-15</v>
      </c>
      <c r="D63" s="2" t="s">
        <v>811</v>
      </c>
      <c r="E63" s="2"/>
      <c r="F63" s="2" t="s">
        <v>718</v>
      </c>
      <c r="G63" s="2" t="s">
        <v>707</v>
      </c>
      <c r="H63" s="90" t="s">
        <v>456</v>
      </c>
      <c r="I63" s="90"/>
      <c r="J63" s="90">
        <f t="shared" si="0"/>
        <v>2500</v>
      </c>
      <c r="K63" s="90"/>
      <c r="L63" s="90"/>
      <c r="M63" s="90">
        <f t="shared" si="1"/>
        <v>37.447389715745032</v>
      </c>
      <c r="N63" s="90"/>
      <c r="O63" s="90"/>
      <c r="P63" s="90">
        <f t="shared" si="2"/>
        <v>6624</v>
      </c>
      <c r="Q63" s="90"/>
      <c r="R63" s="90"/>
      <c r="S63" s="90">
        <f t="shared" si="3"/>
        <v>60600</v>
      </c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</row>
    <row r="64" spans="1:32" ht="24.95" customHeight="1" x14ac:dyDescent="0.25">
      <c r="A64" s="12">
        <f t="shared" si="4"/>
        <v>61</v>
      </c>
      <c r="B64" s="2" t="s">
        <v>716</v>
      </c>
      <c r="C64" s="2" t="str">
        <f>'LIST OF LINES'!$B$36</f>
        <v>80-40-SS-BW-15</v>
      </c>
      <c r="D64" s="2" t="s">
        <v>812</v>
      </c>
      <c r="E64" s="2" t="s">
        <v>813</v>
      </c>
      <c r="F64" s="2" t="s">
        <v>718</v>
      </c>
      <c r="G64" s="2" t="s">
        <v>685</v>
      </c>
      <c r="H64" s="90" t="s">
        <v>456</v>
      </c>
      <c r="I64" s="90"/>
      <c r="J64" s="90">
        <f t="shared" si="0"/>
        <v>2500</v>
      </c>
      <c r="K64" s="90"/>
      <c r="L64" s="90"/>
      <c r="M64" s="90">
        <f t="shared" si="1"/>
        <v>37.447389715745032</v>
      </c>
      <c r="N64" s="90"/>
      <c r="O64" s="90"/>
      <c r="P64" s="90">
        <f t="shared" si="2"/>
        <v>6624</v>
      </c>
      <c r="Q64" s="90"/>
      <c r="R64" s="90"/>
      <c r="S64" s="90">
        <f t="shared" si="3"/>
        <v>60600</v>
      </c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</row>
    <row r="65" spans="1:32" ht="24.95" customHeight="1" x14ac:dyDescent="0.25">
      <c r="A65" s="12">
        <f t="shared" si="4"/>
        <v>62</v>
      </c>
      <c r="B65" s="2" t="s">
        <v>716</v>
      </c>
      <c r="C65" s="2" t="str">
        <f>'LIST OF LINES'!$B$36</f>
        <v>80-40-SS-BW-15</v>
      </c>
      <c r="D65" s="2" t="s">
        <v>814</v>
      </c>
      <c r="E65" s="2"/>
      <c r="F65" s="2" t="s">
        <v>718</v>
      </c>
      <c r="G65" s="2" t="s">
        <v>702</v>
      </c>
      <c r="H65" s="90" t="s">
        <v>456</v>
      </c>
      <c r="I65" s="90"/>
      <c r="J65" s="90">
        <f t="shared" si="0"/>
        <v>2500</v>
      </c>
      <c r="K65" s="90"/>
      <c r="L65" s="90"/>
      <c r="M65" s="90">
        <f t="shared" si="1"/>
        <v>37.447389715745032</v>
      </c>
      <c r="N65" s="90"/>
      <c r="O65" s="90"/>
      <c r="P65" s="90">
        <f t="shared" si="2"/>
        <v>6624</v>
      </c>
      <c r="Q65" s="90"/>
      <c r="R65" s="90"/>
      <c r="S65" s="90">
        <f t="shared" si="3"/>
        <v>60600</v>
      </c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</row>
    <row r="66" spans="1:32" ht="24.95" customHeight="1" x14ac:dyDescent="0.25">
      <c r="A66" s="12">
        <f t="shared" si="4"/>
        <v>63</v>
      </c>
      <c r="B66" s="2" t="s">
        <v>716</v>
      </c>
      <c r="C66" s="2" t="str">
        <f>'LIST OF LINES'!$B$36</f>
        <v>80-40-SS-BW-15</v>
      </c>
      <c r="D66" s="2" t="s">
        <v>815</v>
      </c>
      <c r="E66" s="2"/>
      <c r="F66" s="2" t="s">
        <v>718</v>
      </c>
      <c r="G66" s="2" t="s">
        <v>705</v>
      </c>
      <c r="H66" s="90" t="s">
        <v>456</v>
      </c>
      <c r="I66" s="90"/>
      <c r="J66" s="90">
        <f t="shared" si="0"/>
        <v>2500</v>
      </c>
      <c r="K66" s="90"/>
      <c r="L66" s="90"/>
      <c r="M66" s="90">
        <f t="shared" si="1"/>
        <v>37.447389715745032</v>
      </c>
      <c r="N66" s="90"/>
      <c r="O66" s="90"/>
      <c r="P66" s="90">
        <f t="shared" si="2"/>
        <v>6624</v>
      </c>
      <c r="Q66" s="90"/>
      <c r="R66" s="90"/>
      <c r="S66" s="90">
        <f t="shared" si="3"/>
        <v>60600</v>
      </c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</row>
    <row r="67" spans="1:32" ht="24.95" customHeight="1" x14ac:dyDescent="0.25">
      <c r="A67" s="12">
        <f t="shared" si="4"/>
        <v>64</v>
      </c>
      <c r="B67" s="2" t="s">
        <v>716</v>
      </c>
      <c r="C67" s="2" t="str">
        <f>'LIST OF LINES'!$B$37</f>
        <v>80-40-SS-BW-16</v>
      </c>
      <c r="D67" s="2" t="s">
        <v>816</v>
      </c>
      <c r="E67" s="2"/>
      <c r="F67" s="2" t="s">
        <v>723</v>
      </c>
      <c r="G67" s="2" t="s">
        <v>719</v>
      </c>
      <c r="H67" s="90" t="s">
        <v>456</v>
      </c>
      <c r="I67" s="90"/>
      <c r="J67" s="90">
        <f t="shared" si="0"/>
        <v>2500</v>
      </c>
      <c r="K67" s="90"/>
      <c r="L67" s="90"/>
      <c r="M67" s="90">
        <f t="shared" si="1"/>
        <v>37.447389715745032</v>
      </c>
      <c r="N67" s="90"/>
      <c r="O67" s="90"/>
      <c r="P67" s="90">
        <f t="shared" si="2"/>
        <v>6624</v>
      </c>
      <c r="Q67" s="90"/>
      <c r="R67" s="90"/>
      <c r="S67" s="90">
        <f t="shared" si="3"/>
        <v>60600</v>
      </c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</row>
    <row r="68" spans="1:32" ht="24.95" customHeight="1" x14ac:dyDescent="0.25">
      <c r="A68" s="12">
        <f t="shared" si="4"/>
        <v>65</v>
      </c>
      <c r="B68" s="2" t="s">
        <v>716</v>
      </c>
      <c r="C68" s="2" t="str">
        <f>'LIST OF LINES'!$B$37</f>
        <v>80-40-SS-BW-16</v>
      </c>
      <c r="D68" s="2" t="s">
        <v>817</v>
      </c>
      <c r="E68" s="2"/>
      <c r="F68" s="2" t="s">
        <v>723</v>
      </c>
      <c r="G68" s="2" t="s">
        <v>707</v>
      </c>
      <c r="H68" s="90" t="s">
        <v>456</v>
      </c>
      <c r="I68" s="90"/>
      <c r="J68" s="90">
        <f t="shared" ref="J68:J131" si="5">IFERROR(INDEX(Pressures_mbar,MATCH(INDEX(LOL_LineTags,MATCH(C68,LOL_LineNumbers,0)),LineTags,0)),IFERROR(INDEX(LOE_Pressures,MATCH(C68,LOE_EquipNames,0)),INDEX(LOE_Pressures,MATCH(C68,LOE_EquipTags,0))))</f>
        <v>2500</v>
      </c>
      <c r="K68" s="90"/>
      <c r="L68" s="90"/>
      <c r="M68" s="90">
        <f t="shared" ref="M68:M131" si="6">IFERROR(INDEX(Temperatures,MATCH(INDEX(LOL_LineTags,MATCH(C68,LOL_LineNumbers,0)),LineTags,0)),IFERROR(INDEX(LOE_Temperatures,MATCH(C68,LOE_EquipNames,0)),INDEX(LOE_Temperatures,MATCH(C68,LOE_EquipTags,0))))</f>
        <v>37.447389715745032</v>
      </c>
      <c r="N68" s="90"/>
      <c r="O68" s="90"/>
      <c r="P68" s="90">
        <f t="shared" ref="P68:P131" si="7">IFERROR(INDEX(FlowRates_kghr,MATCH(INDEX(LOL_LineTags,MATCH(C68,LOL_LineNumbers,0)),LineTags,0)),"")</f>
        <v>6624</v>
      </c>
      <c r="Q68" s="90"/>
      <c r="R68" s="90"/>
      <c r="S68" s="90">
        <f t="shared" ref="S68:S131" si="8">IFERROR(INDEX(TDS_Values,MATCH(INDEX(LOL_LineTags,MATCH(C68,LOL_LineNumbers,0)),LineTags,0)),"")</f>
        <v>60600</v>
      </c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</row>
    <row r="69" spans="1:32" ht="24.95" customHeight="1" x14ac:dyDescent="0.25">
      <c r="A69" s="12">
        <f t="shared" ref="A69:A132" si="9">A68+1</f>
        <v>66</v>
      </c>
      <c r="B69" s="2" t="s">
        <v>716</v>
      </c>
      <c r="C69" s="2" t="str">
        <f>'LIST OF LINES'!$B$37</f>
        <v>80-40-SS-BW-16</v>
      </c>
      <c r="D69" s="2" t="s">
        <v>800</v>
      </c>
      <c r="E69" s="2" t="s">
        <v>818</v>
      </c>
      <c r="F69" s="2" t="s">
        <v>723</v>
      </c>
      <c r="G69" s="2" t="s">
        <v>685</v>
      </c>
      <c r="H69" s="90" t="s">
        <v>456</v>
      </c>
      <c r="I69" s="90"/>
      <c r="J69" s="90">
        <f t="shared" si="5"/>
        <v>2500</v>
      </c>
      <c r="K69" s="90"/>
      <c r="L69" s="90"/>
      <c r="M69" s="90">
        <f t="shared" si="6"/>
        <v>37.447389715745032</v>
      </c>
      <c r="N69" s="90"/>
      <c r="O69" s="90"/>
      <c r="P69" s="90">
        <f t="shared" si="7"/>
        <v>6624</v>
      </c>
      <c r="Q69" s="90"/>
      <c r="R69" s="90"/>
      <c r="S69" s="90">
        <f t="shared" si="8"/>
        <v>60600</v>
      </c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</row>
    <row r="70" spans="1:32" ht="24.95" customHeight="1" x14ac:dyDescent="0.25">
      <c r="A70" s="12">
        <f t="shared" si="9"/>
        <v>67</v>
      </c>
      <c r="B70" s="2" t="s">
        <v>716</v>
      </c>
      <c r="C70" s="2" t="str">
        <f>'LIST OF LINES'!$B$37</f>
        <v>80-40-SS-BW-16</v>
      </c>
      <c r="D70" s="2" t="s">
        <v>819</v>
      </c>
      <c r="E70" s="2"/>
      <c r="F70" s="2" t="s">
        <v>723</v>
      </c>
      <c r="G70" s="2" t="s">
        <v>702</v>
      </c>
      <c r="H70" s="90" t="s">
        <v>456</v>
      </c>
      <c r="I70" s="90"/>
      <c r="J70" s="90">
        <f t="shared" si="5"/>
        <v>2500</v>
      </c>
      <c r="K70" s="90"/>
      <c r="L70" s="90"/>
      <c r="M70" s="90">
        <f t="shared" si="6"/>
        <v>37.447389715745032</v>
      </c>
      <c r="N70" s="90"/>
      <c r="O70" s="90"/>
      <c r="P70" s="90">
        <f t="shared" si="7"/>
        <v>6624</v>
      </c>
      <c r="Q70" s="90"/>
      <c r="R70" s="90"/>
      <c r="S70" s="90">
        <f t="shared" si="8"/>
        <v>60600</v>
      </c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</row>
    <row r="71" spans="1:32" ht="24.95" customHeight="1" x14ac:dyDescent="0.25">
      <c r="A71" s="12">
        <f t="shared" si="9"/>
        <v>68</v>
      </c>
      <c r="B71" s="2" t="s">
        <v>716</v>
      </c>
      <c r="C71" s="2" t="str">
        <f>'LIST OF LINES'!$B$37</f>
        <v>80-40-SS-BW-16</v>
      </c>
      <c r="D71" s="2" t="s">
        <v>820</v>
      </c>
      <c r="E71" s="2"/>
      <c r="F71" s="2" t="s">
        <v>723</v>
      </c>
      <c r="G71" s="2" t="s">
        <v>705</v>
      </c>
      <c r="H71" s="90" t="s">
        <v>456</v>
      </c>
      <c r="I71" s="90"/>
      <c r="J71" s="90">
        <f t="shared" si="5"/>
        <v>2500</v>
      </c>
      <c r="K71" s="90"/>
      <c r="L71" s="90"/>
      <c r="M71" s="90">
        <f t="shared" si="6"/>
        <v>37.447389715745032</v>
      </c>
      <c r="N71" s="90"/>
      <c r="O71" s="90"/>
      <c r="P71" s="90">
        <f t="shared" si="7"/>
        <v>6624</v>
      </c>
      <c r="Q71" s="90"/>
      <c r="R71" s="90"/>
      <c r="S71" s="90">
        <f t="shared" si="8"/>
        <v>60600</v>
      </c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</row>
    <row r="72" spans="1:32" ht="24.95" customHeight="1" x14ac:dyDescent="0.25">
      <c r="A72" s="12">
        <f t="shared" si="9"/>
        <v>69</v>
      </c>
      <c r="B72" s="2" t="s">
        <v>716</v>
      </c>
      <c r="C72" s="2" t="str">
        <f>'LIST OF LINES'!$B$38</f>
        <v>80-40-SS-BW-17</v>
      </c>
      <c r="D72" s="2" t="s">
        <v>821</v>
      </c>
      <c r="E72" s="2"/>
      <c r="F72" s="2" t="s">
        <v>727</v>
      </c>
      <c r="G72" s="2" t="s">
        <v>719</v>
      </c>
      <c r="H72" s="90" t="s">
        <v>456</v>
      </c>
      <c r="I72" s="90"/>
      <c r="J72" s="90">
        <f t="shared" si="5"/>
        <v>2500</v>
      </c>
      <c r="K72" s="90"/>
      <c r="L72" s="90"/>
      <c r="M72" s="90">
        <f t="shared" si="6"/>
        <v>37.447389715745032</v>
      </c>
      <c r="N72" s="90"/>
      <c r="O72" s="90"/>
      <c r="P72" s="90">
        <f t="shared" si="7"/>
        <v>6588.0000000000009</v>
      </c>
      <c r="Q72" s="90"/>
      <c r="R72" s="90"/>
      <c r="S72" s="90">
        <f t="shared" si="8"/>
        <v>60600</v>
      </c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</row>
    <row r="73" spans="1:32" ht="24.95" customHeight="1" x14ac:dyDescent="0.25">
      <c r="A73" s="12">
        <f t="shared" si="9"/>
        <v>70</v>
      </c>
      <c r="B73" s="2" t="s">
        <v>716</v>
      </c>
      <c r="C73" s="2" t="str">
        <f>'LIST OF LINES'!$B$38</f>
        <v>80-40-SS-BW-17</v>
      </c>
      <c r="D73" s="2" t="s">
        <v>822</v>
      </c>
      <c r="E73" s="2"/>
      <c r="F73" s="2" t="s">
        <v>727</v>
      </c>
      <c r="G73" s="2" t="s">
        <v>707</v>
      </c>
      <c r="H73" s="90" t="s">
        <v>456</v>
      </c>
      <c r="I73" s="90"/>
      <c r="J73" s="90">
        <f t="shared" si="5"/>
        <v>2500</v>
      </c>
      <c r="K73" s="90"/>
      <c r="L73" s="90"/>
      <c r="M73" s="90">
        <f t="shared" si="6"/>
        <v>37.447389715745032</v>
      </c>
      <c r="N73" s="90"/>
      <c r="O73" s="90"/>
      <c r="P73" s="90">
        <f t="shared" si="7"/>
        <v>6588.0000000000009</v>
      </c>
      <c r="Q73" s="90"/>
      <c r="R73" s="90"/>
      <c r="S73" s="90">
        <f t="shared" si="8"/>
        <v>60600</v>
      </c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</row>
    <row r="74" spans="1:32" ht="24.95" customHeight="1" x14ac:dyDescent="0.25">
      <c r="A74" s="12">
        <f t="shared" si="9"/>
        <v>71</v>
      </c>
      <c r="B74" s="2" t="s">
        <v>716</v>
      </c>
      <c r="C74" s="2" t="str">
        <f>'LIST OF LINES'!$B$38</f>
        <v>80-40-SS-BW-17</v>
      </c>
      <c r="D74" s="2" t="s">
        <v>823</v>
      </c>
      <c r="E74" s="2" t="s">
        <v>824</v>
      </c>
      <c r="F74" s="2" t="s">
        <v>727</v>
      </c>
      <c r="G74" s="2" t="s">
        <v>685</v>
      </c>
      <c r="H74" s="90" t="s">
        <v>456</v>
      </c>
      <c r="I74" s="90"/>
      <c r="J74" s="90">
        <f t="shared" si="5"/>
        <v>2500</v>
      </c>
      <c r="K74" s="90"/>
      <c r="L74" s="90"/>
      <c r="M74" s="90">
        <f t="shared" si="6"/>
        <v>37.447389715745032</v>
      </c>
      <c r="N74" s="90"/>
      <c r="O74" s="90"/>
      <c r="P74" s="90">
        <f t="shared" si="7"/>
        <v>6588.0000000000009</v>
      </c>
      <c r="Q74" s="90"/>
      <c r="R74" s="90"/>
      <c r="S74" s="90">
        <f t="shared" si="8"/>
        <v>60600</v>
      </c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</row>
    <row r="75" spans="1:32" ht="24.95" customHeight="1" x14ac:dyDescent="0.25">
      <c r="A75" s="12">
        <f t="shared" si="9"/>
        <v>72</v>
      </c>
      <c r="B75" s="2" t="s">
        <v>716</v>
      </c>
      <c r="C75" s="2" t="str">
        <f>'LIST OF LINES'!$B$38</f>
        <v>80-40-SS-BW-17</v>
      </c>
      <c r="D75" s="2" t="s">
        <v>825</v>
      </c>
      <c r="E75" s="2"/>
      <c r="F75" s="2" t="s">
        <v>727</v>
      </c>
      <c r="G75" s="2" t="s">
        <v>702</v>
      </c>
      <c r="H75" s="90" t="s">
        <v>456</v>
      </c>
      <c r="I75" s="90"/>
      <c r="J75" s="90">
        <f t="shared" si="5"/>
        <v>2500</v>
      </c>
      <c r="K75" s="90"/>
      <c r="L75" s="90"/>
      <c r="M75" s="90">
        <f t="shared" si="6"/>
        <v>37.447389715745032</v>
      </c>
      <c r="N75" s="90"/>
      <c r="O75" s="90"/>
      <c r="P75" s="90">
        <f t="shared" si="7"/>
        <v>6588.0000000000009</v>
      </c>
      <c r="Q75" s="90"/>
      <c r="R75" s="90"/>
      <c r="S75" s="90">
        <f t="shared" si="8"/>
        <v>60600</v>
      </c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</row>
    <row r="76" spans="1:32" ht="24.95" customHeight="1" x14ac:dyDescent="0.25">
      <c r="A76" s="12">
        <f t="shared" si="9"/>
        <v>73</v>
      </c>
      <c r="B76" s="2" t="s">
        <v>716</v>
      </c>
      <c r="C76" s="2" t="str">
        <f>'LIST OF LINES'!$B$38</f>
        <v>80-40-SS-BW-17</v>
      </c>
      <c r="D76" s="2" t="s">
        <v>826</v>
      </c>
      <c r="E76" s="2"/>
      <c r="F76" s="2" t="s">
        <v>727</v>
      </c>
      <c r="G76" s="2" t="s">
        <v>705</v>
      </c>
      <c r="H76" s="90" t="s">
        <v>456</v>
      </c>
      <c r="I76" s="90"/>
      <c r="J76" s="90">
        <f t="shared" si="5"/>
        <v>2500</v>
      </c>
      <c r="K76" s="90"/>
      <c r="L76" s="90"/>
      <c r="M76" s="90">
        <f t="shared" si="6"/>
        <v>37.447389715745032</v>
      </c>
      <c r="N76" s="90"/>
      <c r="O76" s="90"/>
      <c r="P76" s="90">
        <f t="shared" si="7"/>
        <v>6588.0000000000009</v>
      </c>
      <c r="Q76" s="90"/>
      <c r="R76" s="90"/>
      <c r="S76" s="90">
        <f t="shared" si="8"/>
        <v>60600</v>
      </c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</row>
    <row r="77" spans="1:32" ht="24.95" customHeight="1" x14ac:dyDescent="0.25">
      <c r="A77" s="12">
        <f t="shared" si="9"/>
        <v>74</v>
      </c>
      <c r="B77" s="2" t="s">
        <v>716</v>
      </c>
      <c r="C77" s="2" t="str">
        <f>'LIST OF LINES'!$B$39</f>
        <v>80-40-SS-BW-18</v>
      </c>
      <c r="D77" s="2" t="s">
        <v>827</v>
      </c>
      <c r="E77" s="2"/>
      <c r="F77" s="2" t="s">
        <v>736</v>
      </c>
      <c r="G77" s="2" t="s">
        <v>719</v>
      </c>
      <c r="H77" s="90" t="s">
        <v>456</v>
      </c>
      <c r="I77" s="90"/>
      <c r="J77" s="90">
        <f t="shared" si="5"/>
        <v>2500</v>
      </c>
      <c r="K77" s="90"/>
      <c r="L77" s="90"/>
      <c r="M77" s="90">
        <f t="shared" si="6"/>
        <v>37.447389715745032</v>
      </c>
      <c r="N77" s="90"/>
      <c r="O77" s="90"/>
      <c r="P77" s="90">
        <f t="shared" si="7"/>
        <v>8316</v>
      </c>
      <c r="Q77" s="90"/>
      <c r="R77" s="90"/>
      <c r="S77" s="90">
        <f t="shared" si="8"/>
        <v>60600</v>
      </c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</row>
    <row r="78" spans="1:32" ht="24.95" customHeight="1" x14ac:dyDescent="0.25">
      <c r="A78" s="12">
        <f t="shared" si="9"/>
        <v>75</v>
      </c>
      <c r="B78" s="2" t="s">
        <v>716</v>
      </c>
      <c r="C78" s="2" t="str">
        <f>'LIST OF LINES'!$B$39</f>
        <v>80-40-SS-BW-18</v>
      </c>
      <c r="D78" s="2" t="s">
        <v>828</v>
      </c>
      <c r="E78" s="2"/>
      <c r="F78" s="2" t="s">
        <v>736</v>
      </c>
      <c r="G78" s="2" t="s">
        <v>707</v>
      </c>
      <c r="H78" s="90" t="s">
        <v>456</v>
      </c>
      <c r="I78" s="90"/>
      <c r="J78" s="90">
        <f t="shared" si="5"/>
        <v>2500</v>
      </c>
      <c r="K78" s="90"/>
      <c r="L78" s="90"/>
      <c r="M78" s="90">
        <f t="shared" si="6"/>
        <v>37.447389715745032</v>
      </c>
      <c r="N78" s="90"/>
      <c r="O78" s="90"/>
      <c r="P78" s="90">
        <f t="shared" si="7"/>
        <v>8316</v>
      </c>
      <c r="Q78" s="90"/>
      <c r="R78" s="90"/>
      <c r="S78" s="90">
        <f t="shared" si="8"/>
        <v>60600</v>
      </c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</row>
    <row r="79" spans="1:32" ht="24.95" customHeight="1" x14ac:dyDescent="0.25">
      <c r="A79" s="12">
        <f t="shared" si="9"/>
        <v>76</v>
      </c>
      <c r="B79" s="2" t="s">
        <v>716</v>
      </c>
      <c r="C79" s="2" t="str">
        <f>'LIST OF LINES'!$B$39</f>
        <v>80-40-SS-BW-18</v>
      </c>
      <c r="D79" s="2" t="s">
        <v>829</v>
      </c>
      <c r="E79" s="2" t="s">
        <v>830</v>
      </c>
      <c r="F79" s="2" t="s">
        <v>736</v>
      </c>
      <c r="G79" s="2" t="s">
        <v>685</v>
      </c>
      <c r="H79" s="90" t="s">
        <v>456</v>
      </c>
      <c r="I79" s="90"/>
      <c r="J79" s="90">
        <f t="shared" si="5"/>
        <v>2500</v>
      </c>
      <c r="K79" s="90"/>
      <c r="L79" s="90"/>
      <c r="M79" s="90">
        <f t="shared" si="6"/>
        <v>37.447389715745032</v>
      </c>
      <c r="N79" s="90"/>
      <c r="O79" s="90"/>
      <c r="P79" s="90">
        <f t="shared" si="7"/>
        <v>8316</v>
      </c>
      <c r="Q79" s="90"/>
      <c r="R79" s="90"/>
      <c r="S79" s="90">
        <f t="shared" si="8"/>
        <v>60600</v>
      </c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</row>
    <row r="80" spans="1:32" ht="24.95" customHeight="1" x14ac:dyDescent="0.25">
      <c r="A80" s="12">
        <f t="shared" si="9"/>
        <v>77</v>
      </c>
      <c r="B80" s="2" t="s">
        <v>716</v>
      </c>
      <c r="C80" s="2" t="str">
        <f>'LIST OF LINES'!$B$39</f>
        <v>80-40-SS-BW-18</v>
      </c>
      <c r="D80" s="2" t="s">
        <v>831</v>
      </c>
      <c r="E80" s="2"/>
      <c r="F80" s="2" t="s">
        <v>736</v>
      </c>
      <c r="G80" s="2" t="s">
        <v>702</v>
      </c>
      <c r="H80" s="90" t="s">
        <v>456</v>
      </c>
      <c r="I80" s="90"/>
      <c r="J80" s="90">
        <f t="shared" si="5"/>
        <v>2500</v>
      </c>
      <c r="K80" s="90"/>
      <c r="L80" s="90"/>
      <c r="M80" s="90">
        <f t="shared" si="6"/>
        <v>37.447389715745032</v>
      </c>
      <c r="N80" s="90"/>
      <c r="O80" s="90"/>
      <c r="P80" s="90">
        <f t="shared" si="7"/>
        <v>8316</v>
      </c>
      <c r="Q80" s="90"/>
      <c r="R80" s="90"/>
      <c r="S80" s="90">
        <f t="shared" si="8"/>
        <v>60600</v>
      </c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</row>
    <row r="81" spans="1:32" ht="24.95" customHeight="1" x14ac:dyDescent="0.25">
      <c r="A81" s="12">
        <f t="shared" si="9"/>
        <v>78</v>
      </c>
      <c r="B81" s="2" t="s">
        <v>716</v>
      </c>
      <c r="C81" s="2" t="str">
        <f>'LIST OF LINES'!$B$39</f>
        <v>80-40-SS-BW-18</v>
      </c>
      <c r="D81" s="2" t="s">
        <v>832</v>
      </c>
      <c r="E81" s="2"/>
      <c r="F81" s="2" t="s">
        <v>736</v>
      </c>
      <c r="G81" s="2" t="s">
        <v>705</v>
      </c>
      <c r="H81" s="90" t="s">
        <v>456</v>
      </c>
      <c r="I81" s="90"/>
      <c r="J81" s="90">
        <f t="shared" si="5"/>
        <v>2500</v>
      </c>
      <c r="K81" s="90"/>
      <c r="L81" s="90"/>
      <c r="M81" s="90">
        <f t="shared" si="6"/>
        <v>37.447389715745032</v>
      </c>
      <c r="N81" s="90"/>
      <c r="O81" s="90"/>
      <c r="P81" s="90">
        <f t="shared" si="7"/>
        <v>8316</v>
      </c>
      <c r="Q81" s="90"/>
      <c r="R81" s="90"/>
      <c r="S81" s="90">
        <f t="shared" si="8"/>
        <v>60600</v>
      </c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</row>
    <row r="82" spans="1:32" ht="24.95" customHeight="1" x14ac:dyDescent="0.25">
      <c r="A82" s="12">
        <f t="shared" si="9"/>
        <v>79</v>
      </c>
      <c r="B82" s="2" t="s">
        <v>716</v>
      </c>
      <c r="C82" s="2" t="str">
        <f>'LIST OF LINES'!$B$40</f>
        <v>80-40-SS-BW-19</v>
      </c>
      <c r="D82" s="2" t="s">
        <v>833</v>
      </c>
      <c r="E82" s="2"/>
      <c r="F82" s="2" t="s">
        <v>740</v>
      </c>
      <c r="G82" s="2" t="s">
        <v>719</v>
      </c>
      <c r="H82" s="90" t="s">
        <v>456</v>
      </c>
      <c r="I82" s="90"/>
      <c r="J82" s="90">
        <f t="shared" si="5"/>
        <v>2500</v>
      </c>
      <c r="K82" s="90"/>
      <c r="L82" s="90"/>
      <c r="M82" s="90">
        <f t="shared" si="6"/>
        <v>37.447389715745032</v>
      </c>
      <c r="N82" s="90"/>
      <c r="O82" s="90"/>
      <c r="P82" s="90">
        <f t="shared" si="7"/>
        <v>8316</v>
      </c>
      <c r="Q82" s="90"/>
      <c r="R82" s="90"/>
      <c r="S82" s="90">
        <f t="shared" si="8"/>
        <v>60600</v>
      </c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</row>
    <row r="83" spans="1:32" ht="24.95" customHeight="1" x14ac:dyDescent="0.25">
      <c r="A83" s="12">
        <f t="shared" si="9"/>
        <v>80</v>
      </c>
      <c r="B83" s="2" t="s">
        <v>716</v>
      </c>
      <c r="C83" s="2" t="str">
        <f>'LIST OF LINES'!$B$40</f>
        <v>80-40-SS-BW-19</v>
      </c>
      <c r="D83" s="2" t="s">
        <v>834</v>
      </c>
      <c r="E83" s="2"/>
      <c r="F83" s="2" t="s">
        <v>740</v>
      </c>
      <c r="G83" s="2" t="s">
        <v>707</v>
      </c>
      <c r="H83" s="90" t="s">
        <v>456</v>
      </c>
      <c r="I83" s="90"/>
      <c r="J83" s="90">
        <f t="shared" si="5"/>
        <v>2500</v>
      </c>
      <c r="K83" s="90"/>
      <c r="L83" s="90"/>
      <c r="M83" s="90">
        <f t="shared" si="6"/>
        <v>37.447389715745032</v>
      </c>
      <c r="N83" s="90"/>
      <c r="O83" s="90"/>
      <c r="P83" s="90">
        <f t="shared" si="7"/>
        <v>8316</v>
      </c>
      <c r="Q83" s="90"/>
      <c r="R83" s="90"/>
      <c r="S83" s="90">
        <f t="shared" si="8"/>
        <v>60600</v>
      </c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</row>
    <row r="84" spans="1:32" ht="24.95" customHeight="1" x14ac:dyDescent="0.25">
      <c r="A84" s="12">
        <f t="shared" si="9"/>
        <v>81</v>
      </c>
      <c r="B84" s="2" t="s">
        <v>716</v>
      </c>
      <c r="C84" s="2" t="str">
        <f>'LIST OF LINES'!$B$40</f>
        <v>80-40-SS-BW-19</v>
      </c>
      <c r="D84" s="2" t="s">
        <v>835</v>
      </c>
      <c r="E84" s="2" t="s">
        <v>836</v>
      </c>
      <c r="F84" s="2" t="s">
        <v>740</v>
      </c>
      <c r="G84" s="2" t="s">
        <v>685</v>
      </c>
      <c r="H84" s="90" t="s">
        <v>456</v>
      </c>
      <c r="I84" s="90"/>
      <c r="J84" s="90">
        <f t="shared" si="5"/>
        <v>2500</v>
      </c>
      <c r="K84" s="90"/>
      <c r="L84" s="90"/>
      <c r="M84" s="90">
        <f t="shared" si="6"/>
        <v>37.447389715745032</v>
      </c>
      <c r="N84" s="90"/>
      <c r="O84" s="90"/>
      <c r="P84" s="90">
        <f t="shared" si="7"/>
        <v>8316</v>
      </c>
      <c r="Q84" s="90"/>
      <c r="R84" s="90"/>
      <c r="S84" s="90">
        <f t="shared" si="8"/>
        <v>60600</v>
      </c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</row>
    <row r="85" spans="1:32" ht="24.95" customHeight="1" x14ac:dyDescent="0.25">
      <c r="A85" s="12">
        <f t="shared" si="9"/>
        <v>82</v>
      </c>
      <c r="B85" s="2" t="s">
        <v>716</v>
      </c>
      <c r="C85" s="2" t="str">
        <f>'LIST OF LINES'!$B$40</f>
        <v>80-40-SS-BW-19</v>
      </c>
      <c r="D85" s="2" t="s">
        <v>837</v>
      </c>
      <c r="E85" s="2"/>
      <c r="F85" s="2" t="s">
        <v>740</v>
      </c>
      <c r="G85" s="2" t="s">
        <v>702</v>
      </c>
      <c r="H85" s="90" t="s">
        <v>456</v>
      </c>
      <c r="I85" s="90"/>
      <c r="J85" s="90">
        <f t="shared" si="5"/>
        <v>2500</v>
      </c>
      <c r="K85" s="90"/>
      <c r="L85" s="90"/>
      <c r="M85" s="90">
        <f t="shared" si="6"/>
        <v>37.447389715745032</v>
      </c>
      <c r="N85" s="90"/>
      <c r="O85" s="90"/>
      <c r="P85" s="90">
        <f t="shared" si="7"/>
        <v>8316</v>
      </c>
      <c r="Q85" s="90"/>
      <c r="R85" s="90"/>
      <c r="S85" s="90">
        <f t="shared" si="8"/>
        <v>60600</v>
      </c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</row>
    <row r="86" spans="1:32" ht="24.95" customHeight="1" x14ac:dyDescent="0.25">
      <c r="A86" s="12">
        <f t="shared" si="9"/>
        <v>83</v>
      </c>
      <c r="B86" s="2" t="s">
        <v>716</v>
      </c>
      <c r="C86" s="2" t="str">
        <f>'LIST OF LINES'!$B$40</f>
        <v>80-40-SS-BW-19</v>
      </c>
      <c r="D86" s="2" t="s">
        <v>838</v>
      </c>
      <c r="E86" s="2"/>
      <c r="F86" s="2" t="s">
        <v>740</v>
      </c>
      <c r="G86" s="2" t="s">
        <v>705</v>
      </c>
      <c r="H86" s="90" t="s">
        <v>456</v>
      </c>
      <c r="I86" s="90"/>
      <c r="J86" s="90">
        <f t="shared" si="5"/>
        <v>2500</v>
      </c>
      <c r="K86" s="90"/>
      <c r="L86" s="90"/>
      <c r="M86" s="90">
        <f t="shared" si="6"/>
        <v>37.447389715745032</v>
      </c>
      <c r="N86" s="90"/>
      <c r="O86" s="90"/>
      <c r="P86" s="90">
        <f t="shared" si="7"/>
        <v>8316</v>
      </c>
      <c r="Q86" s="90"/>
      <c r="R86" s="90"/>
      <c r="S86" s="90">
        <f t="shared" si="8"/>
        <v>60600</v>
      </c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</row>
    <row r="87" spans="1:32" ht="24.95" customHeight="1" x14ac:dyDescent="0.25">
      <c r="A87" s="12">
        <f t="shared" si="9"/>
        <v>84</v>
      </c>
      <c r="B87" s="2" t="s">
        <v>716</v>
      </c>
      <c r="C87" s="2" t="str">
        <f>'LIST OF LINES'!$B$41</f>
        <v>80-40-SS-BW-20</v>
      </c>
      <c r="D87" s="2" t="s">
        <v>839</v>
      </c>
      <c r="E87" s="2"/>
      <c r="F87" s="2" t="s">
        <v>744</v>
      </c>
      <c r="G87" s="2" t="s">
        <v>719</v>
      </c>
      <c r="H87" s="90" t="s">
        <v>456</v>
      </c>
      <c r="I87" s="90"/>
      <c r="J87" s="90">
        <f t="shared" si="5"/>
        <v>2500</v>
      </c>
      <c r="K87" s="90"/>
      <c r="L87" s="90"/>
      <c r="M87" s="90">
        <f t="shared" si="6"/>
        <v>37.447389715745032</v>
      </c>
      <c r="N87" s="90"/>
      <c r="O87" s="90"/>
      <c r="P87" s="90">
        <f t="shared" si="7"/>
        <v>8316</v>
      </c>
      <c r="Q87" s="90"/>
      <c r="R87" s="90"/>
      <c r="S87" s="90">
        <f t="shared" si="8"/>
        <v>60600</v>
      </c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</row>
    <row r="88" spans="1:32" ht="24.95" customHeight="1" x14ac:dyDescent="0.25">
      <c r="A88" s="12">
        <f t="shared" si="9"/>
        <v>85</v>
      </c>
      <c r="B88" s="2" t="s">
        <v>716</v>
      </c>
      <c r="C88" s="2" t="str">
        <f>'LIST OF LINES'!$B$41</f>
        <v>80-40-SS-BW-20</v>
      </c>
      <c r="D88" s="2" t="s">
        <v>840</v>
      </c>
      <c r="E88" s="2"/>
      <c r="F88" s="2" t="s">
        <v>744</v>
      </c>
      <c r="G88" s="2" t="s">
        <v>707</v>
      </c>
      <c r="H88" s="90" t="s">
        <v>456</v>
      </c>
      <c r="I88" s="90"/>
      <c r="J88" s="90">
        <f t="shared" si="5"/>
        <v>2500</v>
      </c>
      <c r="K88" s="90"/>
      <c r="L88" s="90"/>
      <c r="M88" s="90">
        <f t="shared" si="6"/>
        <v>37.447389715745032</v>
      </c>
      <c r="N88" s="90"/>
      <c r="O88" s="90"/>
      <c r="P88" s="90">
        <f t="shared" si="7"/>
        <v>8316</v>
      </c>
      <c r="Q88" s="90"/>
      <c r="R88" s="90"/>
      <c r="S88" s="90">
        <f t="shared" si="8"/>
        <v>60600</v>
      </c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</row>
    <row r="89" spans="1:32" ht="24.95" customHeight="1" x14ac:dyDescent="0.25">
      <c r="A89" s="12">
        <f t="shared" si="9"/>
        <v>86</v>
      </c>
      <c r="B89" s="2" t="s">
        <v>716</v>
      </c>
      <c r="C89" s="2" t="str">
        <f>'LIST OF LINES'!$B$41</f>
        <v>80-40-SS-BW-20</v>
      </c>
      <c r="D89" s="2" t="s">
        <v>841</v>
      </c>
      <c r="E89" s="2" t="s">
        <v>842</v>
      </c>
      <c r="F89" s="2" t="s">
        <v>744</v>
      </c>
      <c r="G89" s="2" t="s">
        <v>685</v>
      </c>
      <c r="H89" s="90" t="s">
        <v>456</v>
      </c>
      <c r="I89" s="90"/>
      <c r="J89" s="90">
        <f t="shared" si="5"/>
        <v>2500</v>
      </c>
      <c r="K89" s="90"/>
      <c r="L89" s="90"/>
      <c r="M89" s="90">
        <f t="shared" si="6"/>
        <v>37.447389715745032</v>
      </c>
      <c r="N89" s="90"/>
      <c r="O89" s="90"/>
      <c r="P89" s="90">
        <f t="shared" si="7"/>
        <v>8316</v>
      </c>
      <c r="Q89" s="90"/>
      <c r="R89" s="90"/>
      <c r="S89" s="90">
        <f t="shared" si="8"/>
        <v>60600</v>
      </c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</row>
    <row r="90" spans="1:32" ht="24.95" customHeight="1" x14ac:dyDescent="0.25">
      <c r="A90" s="12">
        <f t="shared" si="9"/>
        <v>87</v>
      </c>
      <c r="B90" s="2" t="s">
        <v>716</v>
      </c>
      <c r="C90" s="2" t="str">
        <f>'LIST OF LINES'!$B$41</f>
        <v>80-40-SS-BW-20</v>
      </c>
      <c r="D90" s="2" t="s">
        <v>843</v>
      </c>
      <c r="E90" s="2"/>
      <c r="F90" s="2" t="s">
        <v>744</v>
      </c>
      <c r="G90" s="2" t="s">
        <v>702</v>
      </c>
      <c r="H90" s="90" t="s">
        <v>456</v>
      </c>
      <c r="I90" s="90"/>
      <c r="J90" s="90">
        <f t="shared" si="5"/>
        <v>2500</v>
      </c>
      <c r="K90" s="90"/>
      <c r="L90" s="90"/>
      <c r="M90" s="90">
        <f t="shared" si="6"/>
        <v>37.447389715745032</v>
      </c>
      <c r="N90" s="90"/>
      <c r="O90" s="90"/>
      <c r="P90" s="90">
        <f t="shared" si="7"/>
        <v>8316</v>
      </c>
      <c r="Q90" s="90"/>
      <c r="R90" s="90"/>
      <c r="S90" s="90">
        <f t="shared" si="8"/>
        <v>60600</v>
      </c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</row>
    <row r="91" spans="1:32" ht="24.95" customHeight="1" x14ac:dyDescent="0.25">
      <c r="A91" s="12">
        <f t="shared" si="9"/>
        <v>88</v>
      </c>
      <c r="B91" s="2" t="s">
        <v>716</v>
      </c>
      <c r="C91" s="2" t="str">
        <f>'LIST OF LINES'!$B$41</f>
        <v>80-40-SS-BW-20</v>
      </c>
      <c r="D91" s="2" t="s">
        <v>844</v>
      </c>
      <c r="E91" s="2"/>
      <c r="F91" s="2" t="s">
        <v>744</v>
      </c>
      <c r="G91" s="2" t="s">
        <v>705</v>
      </c>
      <c r="H91" s="90" t="s">
        <v>456</v>
      </c>
      <c r="I91" s="90"/>
      <c r="J91" s="90">
        <f t="shared" si="5"/>
        <v>2500</v>
      </c>
      <c r="K91" s="90"/>
      <c r="L91" s="90"/>
      <c r="M91" s="90">
        <f t="shared" si="6"/>
        <v>37.447389715745032</v>
      </c>
      <c r="N91" s="90"/>
      <c r="O91" s="90"/>
      <c r="P91" s="90">
        <f t="shared" si="7"/>
        <v>8316</v>
      </c>
      <c r="Q91" s="90"/>
      <c r="R91" s="90"/>
      <c r="S91" s="90">
        <f t="shared" si="8"/>
        <v>60600</v>
      </c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</row>
    <row r="92" spans="1:32" ht="24.95" customHeight="1" x14ac:dyDescent="0.25">
      <c r="A92" s="12">
        <f t="shared" si="9"/>
        <v>89</v>
      </c>
      <c r="B92" s="2" t="s">
        <v>716</v>
      </c>
      <c r="C92" s="2" t="str">
        <f>'LIST OF LINES'!$B$42</f>
        <v>80-40-SS-BW-21</v>
      </c>
      <c r="D92" s="2" t="s">
        <v>845</v>
      </c>
      <c r="E92" s="2"/>
      <c r="F92" s="2" t="s">
        <v>753</v>
      </c>
      <c r="G92" s="2" t="s">
        <v>719</v>
      </c>
      <c r="H92" s="90" t="s">
        <v>456</v>
      </c>
      <c r="I92" s="90"/>
      <c r="J92" s="90">
        <f t="shared" si="5"/>
        <v>2500</v>
      </c>
      <c r="K92" s="90"/>
      <c r="L92" s="90"/>
      <c r="M92" s="90">
        <f t="shared" si="6"/>
        <v>37.447389715745032</v>
      </c>
      <c r="N92" s="90"/>
      <c r="O92" s="90"/>
      <c r="P92" s="90">
        <f t="shared" si="7"/>
        <v>7776.0000000000018</v>
      </c>
      <c r="Q92" s="90"/>
      <c r="R92" s="90"/>
      <c r="S92" s="90">
        <f t="shared" si="8"/>
        <v>60600</v>
      </c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</row>
    <row r="93" spans="1:32" ht="24.95" customHeight="1" x14ac:dyDescent="0.25">
      <c r="A93" s="12">
        <f t="shared" si="9"/>
        <v>90</v>
      </c>
      <c r="B93" s="2" t="s">
        <v>716</v>
      </c>
      <c r="C93" s="2" t="str">
        <f>'LIST OF LINES'!$B$42</f>
        <v>80-40-SS-BW-21</v>
      </c>
      <c r="D93" s="2" t="s">
        <v>846</v>
      </c>
      <c r="E93" s="2"/>
      <c r="F93" s="2" t="s">
        <v>753</v>
      </c>
      <c r="G93" s="2" t="s">
        <v>707</v>
      </c>
      <c r="H93" s="90" t="s">
        <v>456</v>
      </c>
      <c r="I93" s="90"/>
      <c r="J93" s="90">
        <f t="shared" si="5"/>
        <v>2500</v>
      </c>
      <c r="K93" s="90"/>
      <c r="L93" s="90"/>
      <c r="M93" s="90">
        <f t="shared" si="6"/>
        <v>37.447389715745032</v>
      </c>
      <c r="N93" s="90"/>
      <c r="O93" s="90"/>
      <c r="P93" s="90">
        <f t="shared" si="7"/>
        <v>7776.0000000000018</v>
      </c>
      <c r="Q93" s="90"/>
      <c r="R93" s="90"/>
      <c r="S93" s="90">
        <f t="shared" si="8"/>
        <v>60600</v>
      </c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</row>
    <row r="94" spans="1:32" ht="24.95" customHeight="1" x14ac:dyDescent="0.25">
      <c r="A94" s="12">
        <f t="shared" si="9"/>
        <v>91</v>
      </c>
      <c r="B94" s="2" t="s">
        <v>716</v>
      </c>
      <c r="C94" s="2" t="str">
        <f>'LIST OF LINES'!$B$42</f>
        <v>80-40-SS-BW-21</v>
      </c>
      <c r="D94" s="2" t="s">
        <v>847</v>
      </c>
      <c r="E94" s="2" t="s">
        <v>848</v>
      </c>
      <c r="F94" s="2" t="s">
        <v>753</v>
      </c>
      <c r="G94" s="2" t="s">
        <v>685</v>
      </c>
      <c r="H94" s="90" t="s">
        <v>456</v>
      </c>
      <c r="I94" s="90"/>
      <c r="J94" s="90">
        <f t="shared" si="5"/>
        <v>2500</v>
      </c>
      <c r="K94" s="90"/>
      <c r="L94" s="90"/>
      <c r="M94" s="90">
        <f t="shared" si="6"/>
        <v>37.447389715745032</v>
      </c>
      <c r="N94" s="90"/>
      <c r="O94" s="90"/>
      <c r="P94" s="90">
        <f t="shared" si="7"/>
        <v>7776.0000000000018</v>
      </c>
      <c r="Q94" s="90"/>
      <c r="R94" s="90"/>
      <c r="S94" s="90">
        <f t="shared" si="8"/>
        <v>60600</v>
      </c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</row>
    <row r="95" spans="1:32" ht="24.95" customHeight="1" x14ac:dyDescent="0.25">
      <c r="A95" s="12">
        <f t="shared" si="9"/>
        <v>92</v>
      </c>
      <c r="B95" s="2" t="s">
        <v>716</v>
      </c>
      <c r="C95" s="2" t="str">
        <f>'LIST OF LINES'!$B$42</f>
        <v>80-40-SS-BW-21</v>
      </c>
      <c r="D95" s="2" t="s">
        <v>849</v>
      </c>
      <c r="E95" s="2"/>
      <c r="F95" s="2" t="s">
        <v>753</v>
      </c>
      <c r="G95" s="2" t="s">
        <v>702</v>
      </c>
      <c r="H95" s="90" t="s">
        <v>456</v>
      </c>
      <c r="I95" s="90"/>
      <c r="J95" s="90">
        <f t="shared" si="5"/>
        <v>2500</v>
      </c>
      <c r="K95" s="90"/>
      <c r="L95" s="90"/>
      <c r="M95" s="90">
        <f t="shared" si="6"/>
        <v>37.447389715745032</v>
      </c>
      <c r="N95" s="90"/>
      <c r="O95" s="90"/>
      <c r="P95" s="90">
        <f t="shared" si="7"/>
        <v>7776.0000000000018</v>
      </c>
      <c r="Q95" s="90"/>
      <c r="R95" s="90"/>
      <c r="S95" s="90">
        <f t="shared" si="8"/>
        <v>60600</v>
      </c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</row>
    <row r="96" spans="1:32" ht="24.95" customHeight="1" x14ac:dyDescent="0.25">
      <c r="A96" s="12">
        <f t="shared" si="9"/>
        <v>93</v>
      </c>
      <c r="B96" s="2" t="s">
        <v>716</v>
      </c>
      <c r="C96" s="2" t="str">
        <f>'LIST OF LINES'!$B$42</f>
        <v>80-40-SS-BW-21</v>
      </c>
      <c r="D96" s="2" t="s">
        <v>850</v>
      </c>
      <c r="E96" s="2"/>
      <c r="F96" s="2" t="s">
        <v>753</v>
      </c>
      <c r="G96" s="2" t="s">
        <v>705</v>
      </c>
      <c r="H96" s="90" t="s">
        <v>456</v>
      </c>
      <c r="I96" s="90"/>
      <c r="J96" s="90">
        <f t="shared" si="5"/>
        <v>2500</v>
      </c>
      <c r="K96" s="90"/>
      <c r="L96" s="90"/>
      <c r="M96" s="90">
        <f t="shared" si="6"/>
        <v>37.447389715745032</v>
      </c>
      <c r="N96" s="90"/>
      <c r="O96" s="90"/>
      <c r="P96" s="90">
        <f t="shared" si="7"/>
        <v>7776.0000000000018</v>
      </c>
      <c r="Q96" s="90"/>
      <c r="R96" s="90"/>
      <c r="S96" s="90">
        <f t="shared" si="8"/>
        <v>60600</v>
      </c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</row>
    <row r="97" spans="1:32" ht="24.95" customHeight="1" x14ac:dyDescent="0.25">
      <c r="A97" s="12">
        <f t="shared" si="9"/>
        <v>94</v>
      </c>
      <c r="B97" s="2" t="s">
        <v>716</v>
      </c>
      <c r="C97" s="2" t="str">
        <f>'LIST OF LINES'!$B$43</f>
        <v>80-40-SS-BW-22</v>
      </c>
      <c r="D97" s="2" t="s">
        <v>851</v>
      </c>
      <c r="E97" s="2"/>
      <c r="F97" s="2" t="s">
        <v>757</v>
      </c>
      <c r="G97" s="2" t="s">
        <v>719</v>
      </c>
      <c r="H97" s="90" t="s">
        <v>456</v>
      </c>
      <c r="I97" s="90"/>
      <c r="J97" s="90">
        <f t="shared" si="5"/>
        <v>2500</v>
      </c>
      <c r="K97" s="90"/>
      <c r="L97" s="90"/>
      <c r="M97" s="90">
        <f t="shared" si="6"/>
        <v>37.447389715745032</v>
      </c>
      <c r="N97" s="90"/>
      <c r="O97" s="90"/>
      <c r="P97" s="90">
        <f t="shared" si="7"/>
        <v>7776.0000000000018</v>
      </c>
      <c r="Q97" s="90"/>
      <c r="R97" s="90"/>
      <c r="S97" s="90">
        <f t="shared" si="8"/>
        <v>60600</v>
      </c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</row>
    <row r="98" spans="1:32" ht="24.95" customHeight="1" x14ac:dyDescent="0.25">
      <c r="A98" s="12">
        <f t="shared" si="9"/>
        <v>95</v>
      </c>
      <c r="B98" s="2" t="s">
        <v>716</v>
      </c>
      <c r="C98" s="2" t="str">
        <f>'LIST OF LINES'!$B$43</f>
        <v>80-40-SS-BW-22</v>
      </c>
      <c r="D98" s="2" t="s">
        <v>852</v>
      </c>
      <c r="E98" s="2"/>
      <c r="F98" s="2" t="s">
        <v>757</v>
      </c>
      <c r="G98" s="2" t="s">
        <v>707</v>
      </c>
      <c r="H98" s="90" t="s">
        <v>456</v>
      </c>
      <c r="I98" s="90"/>
      <c r="J98" s="90">
        <f t="shared" si="5"/>
        <v>2500</v>
      </c>
      <c r="K98" s="90"/>
      <c r="L98" s="90"/>
      <c r="M98" s="90">
        <f t="shared" si="6"/>
        <v>37.447389715745032</v>
      </c>
      <c r="N98" s="90"/>
      <c r="O98" s="90"/>
      <c r="P98" s="90">
        <f t="shared" si="7"/>
        <v>7776.0000000000018</v>
      </c>
      <c r="Q98" s="90"/>
      <c r="R98" s="90"/>
      <c r="S98" s="90">
        <f t="shared" si="8"/>
        <v>60600</v>
      </c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</row>
    <row r="99" spans="1:32" ht="24.95" customHeight="1" x14ac:dyDescent="0.25">
      <c r="A99" s="12">
        <f t="shared" si="9"/>
        <v>96</v>
      </c>
      <c r="B99" s="2" t="s">
        <v>716</v>
      </c>
      <c r="C99" s="2" t="str">
        <f>'LIST OF LINES'!$B$43</f>
        <v>80-40-SS-BW-22</v>
      </c>
      <c r="D99" s="2" t="s">
        <v>853</v>
      </c>
      <c r="E99" s="2" t="s">
        <v>854</v>
      </c>
      <c r="F99" s="2" t="s">
        <v>757</v>
      </c>
      <c r="G99" s="2" t="s">
        <v>685</v>
      </c>
      <c r="H99" s="90" t="s">
        <v>456</v>
      </c>
      <c r="I99" s="90"/>
      <c r="J99" s="90">
        <f t="shared" si="5"/>
        <v>2500</v>
      </c>
      <c r="K99" s="90"/>
      <c r="L99" s="90"/>
      <c r="M99" s="90">
        <f t="shared" si="6"/>
        <v>37.447389715745032</v>
      </c>
      <c r="N99" s="90"/>
      <c r="O99" s="90"/>
      <c r="P99" s="90">
        <f t="shared" si="7"/>
        <v>7776.0000000000018</v>
      </c>
      <c r="Q99" s="90"/>
      <c r="R99" s="90"/>
      <c r="S99" s="90">
        <f t="shared" si="8"/>
        <v>60600</v>
      </c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</row>
    <row r="100" spans="1:32" ht="24.95" customHeight="1" x14ac:dyDescent="0.25">
      <c r="A100" s="12">
        <f t="shared" si="9"/>
        <v>97</v>
      </c>
      <c r="B100" s="2" t="s">
        <v>716</v>
      </c>
      <c r="C100" s="2" t="str">
        <f>'LIST OF LINES'!$B$43</f>
        <v>80-40-SS-BW-22</v>
      </c>
      <c r="D100" s="2" t="s">
        <v>855</v>
      </c>
      <c r="E100" s="2"/>
      <c r="F100" s="2" t="s">
        <v>757</v>
      </c>
      <c r="G100" s="2" t="s">
        <v>702</v>
      </c>
      <c r="H100" s="90" t="s">
        <v>456</v>
      </c>
      <c r="I100" s="90"/>
      <c r="J100" s="90">
        <f t="shared" si="5"/>
        <v>2500</v>
      </c>
      <c r="K100" s="90"/>
      <c r="L100" s="90"/>
      <c r="M100" s="90">
        <f t="shared" si="6"/>
        <v>37.447389715745032</v>
      </c>
      <c r="N100" s="90"/>
      <c r="O100" s="90"/>
      <c r="P100" s="90">
        <f t="shared" si="7"/>
        <v>7776.0000000000018</v>
      </c>
      <c r="Q100" s="90"/>
      <c r="R100" s="90"/>
      <c r="S100" s="90">
        <f t="shared" si="8"/>
        <v>60600</v>
      </c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</row>
    <row r="101" spans="1:32" ht="24.95" customHeight="1" x14ac:dyDescent="0.25">
      <c r="A101" s="12">
        <f t="shared" si="9"/>
        <v>98</v>
      </c>
      <c r="B101" s="2" t="s">
        <v>716</v>
      </c>
      <c r="C101" s="2" t="str">
        <f>'LIST OF LINES'!$B$43</f>
        <v>80-40-SS-BW-22</v>
      </c>
      <c r="D101" s="2" t="s">
        <v>856</v>
      </c>
      <c r="E101" s="2"/>
      <c r="F101" s="2" t="s">
        <v>757</v>
      </c>
      <c r="G101" s="2" t="s">
        <v>705</v>
      </c>
      <c r="H101" s="90" t="s">
        <v>456</v>
      </c>
      <c r="I101" s="90"/>
      <c r="J101" s="90">
        <f t="shared" si="5"/>
        <v>2500</v>
      </c>
      <c r="K101" s="90"/>
      <c r="L101" s="90"/>
      <c r="M101" s="90">
        <f t="shared" si="6"/>
        <v>37.447389715745032</v>
      </c>
      <c r="N101" s="90"/>
      <c r="O101" s="90"/>
      <c r="P101" s="90">
        <f t="shared" si="7"/>
        <v>7776.0000000000018</v>
      </c>
      <c r="Q101" s="90"/>
      <c r="R101" s="90"/>
      <c r="S101" s="90">
        <f t="shared" si="8"/>
        <v>60600</v>
      </c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</row>
    <row r="102" spans="1:32" ht="24.95" customHeight="1" x14ac:dyDescent="0.25">
      <c r="A102" s="12">
        <f t="shared" si="9"/>
        <v>99</v>
      </c>
      <c r="B102" s="2" t="s">
        <v>716</v>
      </c>
      <c r="C102" s="2" t="str">
        <f>'LIST OF LINES'!$B$44</f>
        <v>80-40-SS-BW-23</v>
      </c>
      <c r="D102" s="2" t="s">
        <v>857</v>
      </c>
      <c r="E102" s="2"/>
      <c r="F102" s="2" t="s">
        <v>761</v>
      </c>
      <c r="G102" s="2" t="s">
        <v>719</v>
      </c>
      <c r="H102" s="90" t="s">
        <v>456</v>
      </c>
      <c r="I102" s="90"/>
      <c r="J102" s="90">
        <f t="shared" si="5"/>
        <v>2500</v>
      </c>
      <c r="K102" s="90"/>
      <c r="L102" s="90"/>
      <c r="M102" s="90">
        <f t="shared" si="6"/>
        <v>37.447389715745032</v>
      </c>
      <c r="N102" s="90"/>
      <c r="O102" s="90"/>
      <c r="P102" s="90">
        <f t="shared" si="7"/>
        <v>7776.0000000000018</v>
      </c>
      <c r="Q102" s="90"/>
      <c r="R102" s="90"/>
      <c r="S102" s="90">
        <f t="shared" si="8"/>
        <v>60600</v>
      </c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</row>
    <row r="103" spans="1:32" ht="24.95" customHeight="1" x14ac:dyDescent="0.25">
      <c r="A103" s="12">
        <f t="shared" si="9"/>
        <v>100</v>
      </c>
      <c r="B103" s="2" t="s">
        <v>716</v>
      </c>
      <c r="C103" s="2" t="str">
        <f>'LIST OF LINES'!$B$44</f>
        <v>80-40-SS-BW-23</v>
      </c>
      <c r="D103" s="2" t="s">
        <v>858</v>
      </c>
      <c r="E103" s="2"/>
      <c r="F103" s="2" t="s">
        <v>761</v>
      </c>
      <c r="G103" s="2" t="s">
        <v>707</v>
      </c>
      <c r="H103" s="90" t="s">
        <v>456</v>
      </c>
      <c r="I103" s="90"/>
      <c r="J103" s="90">
        <f t="shared" si="5"/>
        <v>2500</v>
      </c>
      <c r="K103" s="90"/>
      <c r="L103" s="90"/>
      <c r="M103" s="90">
        <f t="shared" si="6"/>
        <v>37.447389715745032</v>
      </c>
      <c r="N103" s="90"/>
      <c r="O103" s="90"/>
      <c r="P103" s="90">
        <f t="shared" si="7"/>
        <v>7776.0000000000018</v>
      </c>
      <c r="Q103" s="90"/>
      <c r="R103" s="90"/>
      <c r="S103" s="90">
        <f t="shared" si="8"/>
        <v>60600</v>
      </c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</row>
    <row r="104" spans="1:32" ht="24.95" customHeight="1" x14ac:dyDescent="0.25">
      <c r="A104" s="12">
        <f t="shared" si="9"/>
        <v>101</v>
      </c>
      <c r="B104" s="2" t="s">
        <v>716</v>
      </c>
      <c r="C104" s="2" t="str">
        <f>'LIST OF LINES'!$B$44</f>
        <v>80-40-SS-BW-23</v>
      </c>
      <c r="D104" s="2" t="s">
        <v>859</v>
      </c>
      <c r="E104" s="2" t="s">
        <v>860</v>
      </c>
      <c r="F104" s="2" t="s">
        <v>761</v>
      </c>
      <c r="G104" s="2" t="s">
        <v>685</v>
      </c>
      <c r="H104" s="90" t="s">
        <v>456</v>
      </c>
      <c r="I104" s="90"/>
      <c r="J104" s="90">
        <f t="shared" si="5"/>
        <v>2500</v>
      </c>
      <c r="K104" s="90"/>
      <c r="L104" s="90"/>
      <c r="M104" s="90">
        <f t="shared" si="6"/>
        <v>37.447389715745032</v>
      </c>
      <c r="N104" s="90"/>
      <c r="O104" s="90"/>
      <c r="P104" s="90">
        <f t="shared" si="7"/>
        <v>7776.0000000000018</v>
      </c>
      <c r="Q104" s="90"/>
      <c r="R104" s="90"/>
      <c r="S104" s="90">
        <f t="shared" si="8"/>
        <v>60600</v>
      </c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</row>
    <row r="105" spans="1:32" ht="24.95" customHeight="1" x14ac:dyDescent="0.25">
      <c r="A105" s="12">
        <f t="shared" si="9"/>
        <v>102</v>
      </c>
      <c r="B105" s="2" t="s">
        <v>716</v>
      </c>
      <c r="C105" s="2" t="str">
        <f>'LIST OF LINES'!$B$44</f>
        <v>80-40-SS-BW-23</v>
      </c>
      <c r="D105" s="2" t="s">
        <v>861</v>
      </c>
      <c r="E105" s="2"/>
      <c r="F105" s="2" t="s">
        <v>761</v>
      </c>
      <c r="G105" s="2" t="s">
        <v>702</v>
      </c>
      <c r="H105" s="90" t="s">
        <v>456</v>
      </c>
      <c r="I105" s="90"/>
      <c r="J105" s="90">
        <f t="shared" si="5"/>
        <v>2500</v>
      </c>
      <c r="K105" s="90"/>
      <c r="L105" s="90"/>
      <c r="M105" s="90">
        <f t="shared" si="6"/>
        <v>37.447389715745032</v>
      </c>
      <c r="N105" s="90"/>
      <c r="O105" s="90"/>
      <c r="P105" s="90">
        <f t="shared" si="7"/>
        <v>7776.0000000000018</v>
      </c>
      <c r="Q105" s="90"/>
      <c r="R105" s="90"/>
      <c r="S105" s="90">
        <f t="shared" si="8"/>
        <v>60600</v>
      </c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</row>
    <row r="106" spans="1:32" ht="24.95" customHeight="1" x14ac:dyDescent="0.25">
      <c r="A106" s="12">
        <f t="shared" si="9"/>
        <v>103</v>
      </c>
      <c r="B106" s="2" t="s">
        <v>716</v>
      </c>
      <c r="C106" s="2" t="str">
        <f>'LIST OF LINES'!$B$44</f>
        <v>80-40-SS-BW-23</v>
      </c>
      <c r="D106" s="2" t="s">
        <v>862</v>
      </c>
      <c r="E106" s="2"/>
      <c r="F106" s="2" t="s">
        <v>761</v>
      </c>
      <c r="G106" s="2" t="s">
        <v>705</v>
      </c>
      <c r="H106" s="90" t="s">
        <v>456</v>
      </c>
      <c r="I106" s="90"/>
      <c r="J106" s="90">
        <f t="shared" si="5"/>
        <v>2500</v>
      </c>
      <c r="K106" s="90"/>
      <c r="L106" s="90"/>
      <c r="M106" s="90">
        <f t="shared" si="6"/>
        <v>37.447389715745032</v>
      </c>
      <c r="N106" s="90"/>
      <c r="O106" s="90"/>
      <c r="P106" s="90">
        <f t="shared" si="7"/>
        <v>7776.0000000000018</v>
      </c>
      <c r="Q106" s="90"/>
      <c r="R106" s="90"/>
      <c r="S106" s="90">
        <f t="shared" si="8"/>
        <v>60600</v>
      </c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</row>
    <row r="107" spans="1:32" ht="24.95" customHeight="1" x14ac:dyDescent="0.25">
      <c r="A107" s="89">
        <f t="shared" si="9"/>
        <v>104</v>
      </c>
      <c r="B107" s="98" t="s">
        <v>716</v>
      </c>
      <c r="C107" s="90" t="str">
        <f>LIST_OF_EQUIPMENT!$B$5</f>
        <v>MED - E1</v>
      </c>
      <c r="D107" s="90" t="s">
        <v>863</v>
      </c>
      <c r="E107" s="90"/>
      <c r="F107" s="90" t="s">
        <v>864</v>
      </c>
      <c r="G107" s="90" t="s">
        <v>766</v>
      </c>
      <c r="H107" s="90" t="s">
        <v>481</v>
      </c>
      <c r="I107" s="90"/>
      <c r="J107" s="90">
        <f t="shared" si="5"/>
        <v>320.45999999999998</v>
      </c>
      <c r="K107" s="90"/>
      <c r="L107" s="90"/>
      <c r="M107" s="90">
        <f t="shared" si="6"/>
        <v>70.599999999999994</v>
      </c>
      <c r="N107" s="90"/>
      <c r="O107" s="90"/>
      <c r="P107" s="90" t="str">
        <f t="shared" si="7"/>
        <v/>
      </c>
      <c r="Q107" s="90"/>
      <c r="R107" s="90"/>
      <c r="S107" s="90" t="str">
        <f t="shared" si="8"/>
        <v/>
      </c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</row>
    <row r="108" spans="1:32" ht="24.95" customHeight="1" x14ac:dyDescent="0.25">
      <c r="A108" s="89">
        <f t="shared" si="9"/>
        <v>105</v>
      </c>
      <c r="B108" s="98" t="s">
        <v>716</v>
      </c>
      <c r="C108" s="90" t="str">
        <f>LIST_OF_EQUIPMENT!$B$5</f>
        <v>MED - E1</v>
      </c>
      <c r="D108" s="90" t="s">
        <v>865</v>
      </c>
      <c r="E108" s="90" t="s">
        <v>866</v>
      </c>
      <c r="F108" s="90" t="s">
        <v>864</v>
      </c>
      <c r="G108" s="90" t="s">
        <v>769</v>
      </c>
      <c r="H108" s="90" t="s">
        <v>481</v>
      </c>
      <c r="I108" s="90"/>
      <c r="J108" s="90">
        <f t="shared" si="5"/>
        <v>320.45999999999998</v>
      </c>
      <c r="K108" s="90"/>
      <c r="L108" s="90"/>
      <c r="M108" s="90">
        <f t="shared" si="6"/>
        <v>70.599999999999994</v>
      </c>
      <c r="N108" s="90"/>
      <c r="O108" s="90"/>
      <c r="P108" s="90" t="str">
        <f t="shared" si="7"/>
        <v/>
      </c>
      <c r="Q108" s="90"/>
      <c r="R108" s="90"/>
      <c r="S108" s="90" t="str">
        <f t="shared" si="8"/>
        <v/>
      </c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</row>
    <row r="109" spans="1:32" ht="24.95" customHeight="1" x14ac:dyDescent="0.25">
      <c r="A109" s="89">
        <f t="shared" si="9"/>
        <v>106</v>
      </c>
      <c r="B109" s="98" t="s">
        <v>716</v>
      </c>
      <c r="C109" s="90" t="str">
        <f>LIST_OF_EQUIPMENT!$B$5</f>
        <v>MED - E1</v>
      </c>
      <c r="D109" s="90" t="s">
        <v>867</v>
      </c>
      <c r="E109" s="90"/>
      <c r="F109" s="90" t="s">
        <v>868</v>
      </c>
      <c r="G109" s="90" t="s">
        <v>772</v>
      </c>
      <c r="H109" s="90" t="s">
        <v>481</v>
      </c>
      <c r="I109" s="90"/>
      <c r="J109" s="90">
        <f t="shared" si="5"/>
        <v>320.45999999999998</v>
      </c>
      <c r="K109" s="90"/>
      <c r="L109" s="90"/>
      <c r="M109" s="90">
        <f t="shared" si="6"/>
        <v>70.599999999999994</v>
      </c>
      <c r="N109" s="90"/>
      <c r="O109" s="90"/>
      <c r="P109" s="90" t="str">
        <f t="shared" si="7"/>
        <v/>
      </c>
      <c r="Q109" s="90"/>
      <c r="R109" s="90"/>
      <c r="S109" s="90" t="str">
        <f t="shared" si="8"/>
        <v/>
      </c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</row>
    <row r="110" spans="1:32" ht="24.95" customHeight="1" x14ac:dyDescent="0.25">
      <c r="A110" s="89">
        <f t="shared" si="9"/>
        <v>107</v>
      </c>
      <c r="B110" s="98" t="s">
        <v>716</v>
      </c>
      <c r="C110" s="90" t="str">
        <f>LIST_OF_EQUIPMENT!$B$5</f>
        <v>MED - E1</v>
      </c>
      <c r="D110" s="90" t="s">
        <v>869</v>
      </c>
      <c r="E110" s="90"/>
      <c r="F110" s="90" t="s">
        <v>870</v>
      </c>
      <c r="G110" s="90" t="s">
        <v>775</v>
      </c>
      <c r="H110" s="90" t="s">
        <v>481</v>
      </c>
      <c r="I110" s="90"/>
      <c r="J110" s="90">
        <f t="shared" si="5"/>
        <v>320.45999999999998</v>
      </c>
      <c r="K110" s="90"/>
      <c r="L110" s="90"/>
      <c r="M110" s="90">
        <f t="shared" si="6"/>
        <v>70.599999999999994</v>
      </c>
      <c r="N110" s="90"/>
      <c r="O110" s="90"/>
      <c r="P110" s="90" t="str">
        <f t="shared" si="7"/>
        <v/>
      </c>
      <c r="Q110" s="90"/>
      <c r="R110" s="90"/>
      <c r="S110" s="90" t="str">
        <f t="shared" si="8"/>
        <v/>
      </c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</row>
    <row r="111" spans="1:32" ht="24.95" customHeight="1" x14ac:dyDescent="0.25">
      <c r="A111" s="89">
        <f t="shared" si="9"/>
        <v>108</v>
      </c>
      <c r="B111" s="98" t="s">
        <v>716</v>
      </c>
      <c r="C111" s="90" t="str">
        <f>LIST_OF_EQUIPMENT!$A$18</f>
        <v>Distillate Tank</v>
      </c>
      <c r="D111" s="90" t="s">
        <v>871</v>
      </c>
      <c r="E111" s="90"/>
      <c r="F111" s="90" t="s">
        <v>872</v>
      </c>
      <c r="G111" s="90" t="s">
        <v>766</v>
      </c>
      <c r="H111" s="90" t="s">
        <v>481</v>
      </c>
      <c r="I111" s="90"/>
      <c r="J111" s="90">
        <f t="shared" si="5"/>
        <v>84.6</v>
      </c>
      <c r="K111" s="90"/>
      <c r="L111" s="90"/>
      <c r="M111" s="90">
        <f t="shared" si="6"/>
        <v>42.404474022589056</v>
      </c>
      <c r="N111" s="90"/>
      <c r="O111" s="90"/>
      <c r="P111" s="90" t="str">
        <f t="shared" si="7"/>
        <v/>
      </c>
      <c r="Q111" s="90"/>
      <c r="R111" s="90"/>
      <c r="S111" s="90" t="str">
        <f t="shared" si="8"/>
        <v/>
      </c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</row>
    <row r="112" spans="1:32" ht="24.95" customHeight="1" x14ac:dyDescent="0.25">
      <c r="A112" s="89">
        <f t="shared" si="9"/>
        <v>109</v>
      </c>
      <c r="B112" s="98" t="s">
        <v>716</v>
      </c>
      <c r="C112" s="90" t="str">
        <f>LIST_OF_EQUIPMENT!$A$18</f>
        <v>Distillate Tank</v>
      </c>
      <c r="D112" s="90" t="s">
        <v>873</v>
      </c>
      <c r="E112" s="90" t="s">
        <v>866</v>
      </c>
      <c r="F112" s="90" t="s">
        <v>872</v>
      </c>
      <c r="G112" s="90" t="s">
        <v>769</v>
      </c>
      <c r="H112" s="90" t="s">
        <v>481</v>
      </c>
      <c r="I112" s="90"/>
      <c r="J112" s="90">
        <f t="shared" si="5"/>
        <v>84.6</v>
      </c>
      <c r="K112" s="90"/>
      <c r="L112" s="90"/>
      <c r="M112" s="90">
        <f t="shared" si="6"/>
        <v>42.404474022589056</v>
      </c>
      <c r="N112" s="90"/>
      <c r="O112" s="90"/>
      <c r="P112" s="90" t="str">
        <f t="shared" si="7"/>
        <v/>
      </c>
      <c r="Q112" s="90"/>
      <c r="R112" s="90"/>
      <c r="S112" s="90" t="str">
        <f t="shared" si="8"/>
        <v/>
      </c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</row>
    <row r="113" spans="1:32" ht="24.95" customHeight="1" x14ac:dyDescent="0.25">
      <c r="A113" s="89">
        <f t="shared" si="9"/>
        <v>110</v>
      </c>
      <c r="B113" s="98" t="s">
        <v>716</v>
      </c>
      <c r="C113" s="90" t="str">
        <f>LIST_OF_EQUIPMENT!$A$18</f>
        <v>Distillate Tank</v>
      </c>
      <c r="D113" s="90" t="s">
        <v>874</v>
      </c>
      <c r="E113" s="90"/>
      <c r="F113" s="90" t="s">
        <v>875</v>
      </c>
      <c r="G113" s="90" t="s">
        <v>772</v>
      </c>
      <c r="H113" s="90" t="s">
        <v>481</v>
      </c>
      <c r="I113" s="90"/>
      <c r="J113" s="90">
        <f t="shared" si="5"/>
        <v>84.6</v>
      </c>
      <c r="K113" s="90"/>
      <c r="L113" s="90"/>
      <c r="M113" s="90">
        <f t="shared" si="6"/>
        <v>42.404474022589056</v>
      </c>
      <c r="N113" s="90"/>
      <c r="O113" s="90"/>
      <c r="P113" s="90" t="str">
        <f t="shared" si="7"/>
        <v/>
      </c>
      <c r="Q113" s="90"/>
      <c r="R113" s="90"/>
      <c r="S113" s="90" t="str">
        <f t="shared" si="8"/>
        <v/>
      </c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</row>
    <row r="114" spans="1:32" ht="24.95" customHeight="1" x14ac:dyDescent="0.25">
      <c r="A114" s="89">
        <f t="shared" si="9"/>
        <v>111</v>
      </c>
      <c r="B114" s="98" t="s">
        <v>716</v>
      </c>
      <c r="C114" s="90" t="str">
        <f>LIST_OF_EQUIPMENT!$A$18</f>
        <v>Distillate Tank</v>
      </c>
      <c r="D114" s="90" t="s">
        <v>876</v>
      </c>
      <c r="E114" s="90"/>
      <c r="F114" s="90" t="s">
        <v>877</v>
      </c>
      <c r="G114" s="90" t="s">
        <v>775</v>
      </c>
      <c r="H114" s="90" t="s">
        <v>481</v>
      </c>
      <c r="I114" s="90"/>
      <c r="J114" s="90">
        <f t="shared" si="5"/>
        <v>84.6</v>
      </c>
      <c r="K114" s="90"/>
      <c r="L114" s="90"/>
      <c r="M114" s="90">
        <f t="shared" si="6"/>
        <v>42.404474022589056</v>
      </c>
      <c r="N114" s="90"/>
      <c r="O114" s="90"/>
      <c r="P114" s="90" t="str">
        <f t="shared" si="7"/>
        <v/>
      </c>
      <c r="Q114" s="90"/>
      <c r="R114" s="90"/>
      <c r="S114" s="90" t="str">
        <f t="shared" si="8"/>
        <v/>
      </c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</row>
    <row r="115" spans="1:32" ht="24.95" customHeight="1" x14ac:dyDescent="0.25">
      <c r="A115" s="89">
        <f t="shared" si="9"/>
        <v>112</v>
      </c>
      <c r="B115" s="98" t="s">
        <v>716</v>
      </c>
      <c r="C115" s="90" t="str">
        <f>'LIST OF LINES'!$B$56</f>
        <v>100-40-SS-DW-11</v>
      </c>
      <c r="D115" s="90" t="s">
        <v>878</v>
      </c>
      <c r="E115" s="90" t="s">
        <v>879</v>
      </c>
      <c r="F115" s="90" t="s">
        <v>880</v>
      </c>
      <c r="G115" s="90" t="s">
        <v>689</v>
      </c>
      <c r="H115" s="90" t="s">
        <v>481</v>
      </c>
      <c r="I115" s="90"/>
      <c r="J115" s="90">
        <f t="shared" si="5"/>
        <v>0</v>
      </c>
      <c r="K115" s="90"/>
      <c r="L115" s="90"/>
      <c r="M115" s="90">
        <f t="shared" si="6"/>
        <v>42.493588034626043</v>
      </c>
      <c r="N115" s="90"/>
      <c r="O115" s="90"/>
      <c r="P115" s="90">
        <f t="shared" si="7"/>
        <v>41688</v>
      </c>
      <c r="Q115" s="90"/>
      <c r="R115" s="90"/>
      <c r="S115" s="90" t="str">
        <f t="shared" si="8"/>
        <v>NIL</v>
      </c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</row>
    <row r="116" spans="1:32" ht="24.95" customHeight="1" x14ac:dyDescent="0.25">
      <c r="A116" s="89">
        <f t="shared" si="9"/>
        <v>113</v>
      </c>
      <c r="B116" s="98" t="s">
        <v>716</v>
      </c>
      <c r="C116" s="90" t="str">
        <f>'LIST OF LINES'!$B$56</f>
        <v>100-40-SS-DW-11</v>
      </c>
      <c r="D116" s="90" t="s">
        <v>881</v>
      </c>
      <c r="E116" s="90" t="s">
        <v>882</v>
      </c>
      <c r="F116" s="90" t="s">
        <v>880</v>
      </c>
      <c r="G116" s="90" t="s">
        <v>689</v>
      </c>
      <c r="H116" s="90" t="s">
        <v>481</v>
      </c>
      <c r="I116" s="90"/>
      <c r="J116" s="90">
        <f t="shared" si="5"/>
        <v>0</v>
      </c>
      <c r="K116" s="90"/>
      <c r="L116" s="90"/>
      <c r="M116" s="90">
        <f t="shared" si="6"/>
        <v>42.493588034626043</v>
      </c>
      <c r="N116" s="90"/>
      <c r="O116" s="90"/>
      <c r="P116" s="90">
        <f t="shared" si="7"/>
        <v>41688</v>
      </c>
      <c r="Q116" s="90"/>
      <c r="R116" s="90"/>
      <c r="S116" s="90" t="str">
        <f t="shared" si="8"/>
        <v>NIL</v>
      </c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</row>
    <row r="117" spans="1:32" ht="24.95" customHeight="1" x14ac:dyDescent="0.25">
      <c r="A117" s="89">
        <f t="shared" si="9"/>
        <v>114</v>
      </c>
      <c r="B117" s="98" t="s">
        <v>716</v>
      </c>
      <c r="C117" s="90" t="str">
        <f>'LIST OF LINES'!$B$56</f>
        <v>100-40-SS-DW-11</v>
      </c>
      <c r="D117" s="90" t="s">
        <v>883</v>
      </c>
      <c r="E117" s="90" t="s">
        <v>884</v>
      </c>
      <c r="F117" s="90" t="s">
        <v>880</v>
      </c>
      <c r="G117" s="90" t="s">
        <v>696</v>
      </c>
      <c r="H117" s="90" t="s">
        <v>481</v>
      </c>
      <c r="I117" s="90"/>
      <c r="J117" s="90">
        <f t="shared" si="5"/>
        <v>0</v>
      </c>
      <c r="K117" s="90"/>
      <c r="L117" s="90"/>
      <c r="M117" s="90">
        <f t="shared" si="6"/>
        <v>42.493588034626043</v>
      </c>
      <c r="N117" s="90"/>
      <c r="O117" s="90"/>
      <c r="P117" s="90">
        <f t="shared" si="7"/>
        <v>41688</v>
      </c>
      <c r="Q117" s="90"/>
      <c r="R117" s="90"/>
      <c r="S117" s="90" t="str">
        <f t="shared" si="8"/>
        <v>NIL</v>
      </c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</row>
    <row r="118" spans="1:32" ht="24.95" customHeight="1" x14ac:dyDescent="0.25">
      <c r="A118" s="89">
        <f t="shared" si="9"/>
        <v>115</v>
      </c>
      <c r="B118" s="98" t="s">
        <v>716</v>
      </c>
      <c r="C118" s="90" t="str">
        <f>'LIST OF LINES'!$B$56</f>
        <v>100-40-SS-DW-11</v>
      </c>
      <c r="D118" s="90" t="s">
        <v>885</v>
      </c>
      <c r="E118" s="90" t="s">
        <v>886</v>
      </c>
      <c r="F118" s="90" t="s">
        <v>880</v>
      </c>
      <c r="G118" s="90" t="s">
        <v>685</v>
      </c>
      <c r="H118" s="90" t="s">
        <v>481</v>
      </c>
      <c r="I118" s="90"/>
      <c r="J118" s="90">
        <f t="shared" si="5"/>
        <v>0</v>
      </c>
      <c r="K118" s="90"/>
      <c r="L118" s="90"/>
      <c r="M118" s="90">
        <f t="shared" si="6"/>
        <v>42.493588034626043</v>
      </c>
      <c r="N118" s="90"/>
      <c r="O118" s="90"/>
      <c r="P118" s="90">
        <f t="shared" si="7"/>
        <v>41688</v>
      </c>
      <c r="Q118" s="90"/>
      <c r="R118" s="90"/>
      <c r="S118" s="90" t="str">
        <f t="shared" si="8"/>
        <v>NIL</v>
      </c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</row>
    <row r="119" spans="1:32" ht="24.95" customHeight="1" x14ac:dyDescent="0.25">
      <c r="A119" s="89">
        <f t="shared" si="9"/>
        <v>116</v>
      </c>
      <c r="B119" s="98" t="s">
        <v>716</v>
      </c>
      <c r="C119" s="90" t="str">
        <f>'LIST OF LINES'!$B$56</f>
        <v>100-40-SS-DW-11</v>
      </c>
      <c r="D119" s="90" t="s">
        <v>887</v>
      </c>
      <c r="E119" s="90"/>
      <c r="F119" s="90" t="s">
        <v>880</v>
      </c>
      <c r="G119" s="90" t="s">
        <v>702</v>
      </c>
      <c r="H119" s="90" t="s">
        <v>481</v>
      </c>
      <c r="I119" s="90"/>
      <c r="J119" s="90">
        <f t="shared" si="5"/>
        <v>0</v>
      </c>
      <c r="K119" s="90"/>
      <c r="L119" s="90"/>
      <c r="M119" s="90">
        <f t="shared" si="6"/>
        <v>42.493588034626043</v>
      </c>
      <c r="N119" s="90"/>
      <c r="O119" s="90"/>
      <c r="P119" s="90">
        <f t="shared" si="7"/>
        <v>41688</v>
      </c>
      <c r="Q119" s="90"/>
      <c r="R119" s="90"/>
      <c r="S119" s="90" t="str">
        <f t="shared" si="8"/>
        <v>NIL</v>
      </c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</row>
    <row r="120" spans="1:32" ht="24.95" customHeight="1" x14ac:dyDescent="0.25">
      <c r="A120" s="89">
        <f t="shared" si="9"/>
        <v>117</v>
      </c>
      <c r="B120" s="98" t="s">
        <v>716</v>
      </c>
      <c r="C120" s="90" t="str">
        <f>'LIST OF LINES'!$B$56</f>
        <v>100-40-SS-DW-11</v>
      </c>
      <c r="D120" s="90" t="s">
        <v>888</v>
      </c>
      <c r="E120" s="90"/>
      <c r="F120" s="90" t="s">
        <v>880</v>
      </c>
      <c r="G120" s="90" t="s">
        <v>705</v>
      </c>
      <c r="H120" s="90" t="s">
        <v>481</v>
      </c>
      <c r="I120" s="90"/>
      <c r="J120" s="90">
        <f t="shared" si="5"/>
        <v>0</v>
      </c>
      <c r="K120" s="90"/>
      <c r="L120" s="90"/>
      <c r="M120" s="90">
        <f t="shared" si="6"/>
        <v>42.493588034626043</v>
      </c>
      <c r="N120" s="90"/>
      <c r="O120" s="90"/>
      <c r="P120" s="90">
        <f t="shared" si="7"/>
        <v>41688</v>
      </c>
      <c r="Q120" s="90"/>
      <c r="R120" s="90"/>
      <c r="S120" s="90" t="str">
        <f t="shared" si="8"/>
        <v>NIL</v>
      </c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</row>
    <row r="121" spans="1:32" ht="24.95" customHeight="1" x14ac:dyDescent="0.25">
      <c r="A121" s="89">
        <f t="shared" si="9"/>
        <v>118</v>
      </c>
      <c r="B121" s="98" t="s">
        <v>716</v>
      </c>
      <c r="C121" s="90" t="str">
        <f>'LIST OF LINES'!$B$57</f>
        <v>100-40-SS-DW-12</v>
      </c>
      <c r="D121" s="90" t="s">
        <v>889</v>
      </c>
      <c r="E121" s="90"/>
      <c r="F121" s="90" t="s">
        <v>890</v>
      </c>
      <c r="G121" s="90" t="s">
        <v>702</v>
      </c>
      <c r="H121" s="90" t="s">
        <v>481</v>
      </c>
      <c r="I121" s="90"/>
      <c r="J121" s="90">
        <f t="shared" si="5"/>
        <v>0</v>
      </c>
      <c r="K121" s="90"/>
      <c r="L121" s="90"/>
      <c r="M121" s="90">
        <f t="shared" si="6"/>
        <v>0</v>
      </c>
      <c r="N121" s="90"/>
      <c r="O121" s="90"/>
      <c r="P121" s="90">
        <f t="shared" si="7"/>
        <v>41688</v>
      </c>
      <c r="Q121" s="90"/>
      <c r="R121" s="90"/>
      <c r="S121" s="90" t="str">
        <f t="shared" si="8"/>
        <v>NIL</v>
      </c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</row>
    <row r="122" spans="1:32" ht="24.95" customHeight="1" x14ac:dyDescent="0.25">
      <c r="A122" s="89">
        <f t="shared" si="9"/>
        <v>119</v>
      </c>
      <c r="B122" s="98" t="s">
        <v>716</v>
      </c>
      <c r="C122" s="90" t="str">
        <f>'LIST OF LINES'!$B$57</f>
        <v>100-40-SS-DW-12</v>
      </c>
      <c r="D122" s="91" t="s">
        <v>891</v>
      </c>
      <c r="E122" s="90"/>
      <c r="F122" s="91" t="s">
        <v>890</v>
      </c>
      <c r="G122" s="90" t="s">
        <v>705</v>
      </c>
      <c r="H122" s="90" t="s">
        <v>481</v>
      </c>
      <c r="I122" s="90"/>
      <c r="J122" s="90">
        <f t="shared" si="5"/>
        <v>0</v>
      </c>
      <c r="K122" s="90"/>
      <c r="L122" s="90"/>
      <c r="M122" s="90">
        <f t="shared" si="6"/>
        <v>0</v>
      </c>
      <c r="N122" s="90"/>
      <c r="O122" s="90"/>
      <c r="P122" s="90">
        <f t="shared" si="7"/>
        <v>41688</v>
      </c>
      <c r="Q122" s="90"/>
      <c r="R122" s="90"/>
      <c r="S122" s="90" t="str">
        <f t="shared" si="8"/>
        <v>NIL</v>
      </c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</row>
    <row r="123" spans="1:32" ht="24.95" customHeight="1" x14ac:dyDescent="0.25">
      <c r="A123" s="89">
        <f t="shared" si="9"/>
        <v>120</v>
      </c>
      <c r="B123" s="98" t="s">
        <v>716</v>
      </c>
      <c r="C123" s="90" t="str">
        <f>'LIST OF LINES'!$B$57</f>
        <v>100-40-SS-DW-12</v>
      </c>
      <c r="D123" s="90" t="s">
        <v>892</v>
      </c>
      <c r="E123" s="90" t="s">
        <v>893</v>
      </c>
      <c r="F123" s="90" t="s">
        <v>890</v>
      </c>
      <c r="G123" s="90" t="s">
        <v>710</v>
      </c>
      <c r="H123" s="90" t="s">
        <v>481</v>
      </c>
      <c r="I123" s="90"/>
      <c r="J123" s="90">
        <f t="shared" si="5"/>
        <v>0</v>
      </c>
      <c r="K123" s="90"/>
      <c r="L123" s="90"/>
      <c r="M123" s="90">
        <f t="shared" si="6"/>
        <v>0</v>
      </c>
      <c r="N123" s="90"/>
      <c r="O123" s="90"/>
      <c r="P123" s="90">
        <f t="shared" si="7"/>
        <v>41688</v>
      </c>
      <c r="Q123" s="90"/>
      <c r="R123" s="90"/>
      <c r="S123" s="90" t="str">
        <f t="shared" si="8"/>
        <v>NIL</v>
      </c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</row>
    <row r="124" spans="1:32" ht="24.95" customHeight="1" x14ac:dyDescent="0.25">
      <c r="A124" s="89">
        <f t="shared" si="9"/>
        <v>121</v>
      </c>
      <c r="B124" s="98" t="s">
        <v>716</v>
      </c>
      <c r="C124" s="90" t="str">
        <f>'LIST OF LINES'!$B$57</f>
        <v>100-40-SS-DW-12</v>
      </c>
      <c r="D124" s="90" t="s">
        <v>894</v>
      </c>
      <c r="E124" s="90"/>
      <c r="F124" s="90" t="s">
        <v>890</v>
      </c>
      <c r="G124" s="90" t="s">
        <v>707</v>
      </c>
      <c r="H124" s="90" t="s">
        <v>481</v>
      </c>
      <c r="I124" s="90"/>
      <c r="J124" s="90">
        <f t="shared" si="5"/>
        <v>0</v>
      </c>
      <c r="K124" s="90"/>
      <c r="L124" s="90"/>
      <c r="M124" s="90">
        <f t="shared" si="6"/>
        <v>0</v>
      </c>
      <c r="N124" s="90"/>
      <c r="O124" s="90"/>
      <c r="P124" s="90">
        <f t="shared" si="7"/>
        <v>41688</v>
      </c>
      <c r="Q124" s="90"/>
      <c r="R124" s="90"/>
      <c r="S124" s="90" t="str">
        <f t="shared" si="8"/>
        <v>NIL</v>
      </c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</row>
    <row r="125" spans="1:32" ht="24.95" customHeight="1" x14ac:dyDescent="0.25">
      <c r="A125" s="89">
        <f t="shared" si="9"/>
        <v>122</v>
      </c>
      <c r="B125" s="98" t="s">
        <v>895</v>
      </c>
      <c r="C125" s="90" t="str">
        <f>LIST_OF_EQUIPMENT!$A$28</f>
        <v>Distillate Storage Tank</v>
      </c>
      <c r="D125" s="90" t="s">
        <v>896</v>
      </c>
      <c r="E125" s="90"/>
      <c r="F125" s="90" t="s">
        <v>897</v>
      </c>
      <c r="G125" s="90" t="s">
        <v>766</v>
      </c>
      <c r="H125" s="90" t="s">
        <v>481</v>
      </c>
      <c r="I125" s="90"/>
      <c r="J125" s="90">
        <f t="shared" si="5"/>
        <v>0</v>
      </c>
      <c r="K125" s="90"/>
      <c r="L125" s="90"/>
      <c r="M125" s="90">
        <f t="shared" si="6"/>
        <v>0</v>
      </c>
      <c r="N125" s="90"/>
      <c r="O125" s="90"/>
      <c r="P125" s="90" t="str">
        <f t="shared" si="7"/>
        <v/>
      </c>
      <c r="Q125" s="90"/>
      <c r="R125" s="90"/>
      <c r="S125" s="90" t="str">
        <f t="shared" si="8"/>
        <v/>
      </c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</row>
    <row r="126" spans="1:32" ht="24.95" customHeight="1" x14ac:dyDescent="0.25">
      <c r="A126" s="89">
        <f t="shared" si="9"/>
        <v>123</v>
      </c>
      <c r="B126" s="98" t="s">
        <v>895</v>
      </c>
      <c r="C126" s="90" t="str">
        <f>LIST_OF_EQUIPMENT!$A$28</f>
        <v>Distillate Storage Tank</v>
      </c>
      <c r="D126" s="90" t="s">
        <v>898</v>
      </c>
      <c r="E126" s="90" t="s">
        <v>899</v>
      </c>
      <c r="F126" s="90" t="s">
        <v>897</v>
      </c>
      <c r="G126" s="90" t="s">
        <v>769</v>
      </c>
      <c r="H126" s="90" t="s">
        <v>481</v>
      </c>
      <c r="I126" s="90"/>
      <c r="J126" s="90">
        <f t="shared" si="5"/>
        <v>0</v>
      </c>
      <c r="K126" s="90"/>
      <c r="L126" s="90"/>
      <c r="M126" s="90">
        <f t="shared" si="6"/>
        <v>0</v>
      </c>
      <c r="N126" s="90"/>
      <c r="O126" s="90"/>
      <c r="P126" s="90" t="str">
        <f t="shared" si="7"/>
        <v/>
      </c>
      <c r="Q126" s="90"/>
      <c r="R126" s="90"/>
      <c r="S126" s="90" t="str">
        <f t="shared" si="8"/>
        <v/>
      </c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</row>
    <row r="127" spans="1:32" ht="24.95" customHeight="1" x14ac:dyDescent="0.25">
      <c r="A127" s="89">
        <f t="shared" si="9"/>
        <v>124</v>
      </c>
      <c r="B127" s="98" t="s">
        <v>895</v>
      </c>
      <c r="C127" s="90" t="str">
        <f>LIST_OF_EQUIPMENT!$A$28</f>
        <v>Distillate Storage Tank</v>
      </c>
      <c r="D127" s="90" t="s">
        <v>900</v>
      </c>
      <c r="E127" s="90"/>
      <c r="F127" s="90" t="s">
        <v>897</v>
      </c>
      <c r="G127" s="90" t="s">
        <v>772</v>
      </c>
      <c r="H127" s="90" t="s">
        <v>481</v>
      </c>
      <c r="I127" s="90"/>
      <c r="J127" s="90">
        <f t="shared" si="5"/>
        <v>0</v>
      </c>
      <c r="K127" s="90"/>
      <c r="L127" s="90"/>
      <c r="M127" s="90">
        <f t="shared" si="6"/>
        <v>0</v>
      </c>
      <c r="N127" s="90"/>
      <c r="O127" s="90"/>
      <c r="P127" s="90" t="str">
        <f t="shared" si="7"/>
        <v/>
      </c>
      <c r="Q127" s="90"/>
      <c r="R127" s="90"/>
      <c r="S127" s="90" t="str">
        <f t="shared" si="8"/>
        <v/>
      </c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</row>
    <row r="128" spans="1:32" ht="24.95" customHeight="1" x14ac:dyDescent="0.25">
      <c r="A128" s="89">
        <f t="shared" si="9"/>
        <v>125</v>
      </c>
      <c r="B128" s="98" t="s">
        <v>895</v>
      </c>
      <c r="C128" s="90" t="str">
        <f>LIST_OF_EQUIPMENT!$A$28</f>
        <v>Distillate Storage Tank</v>
      </c>
      <c r="D128" s="90" t="s">
        <v>901</v>
      </c>
      <c r="E128" s="90"/>
      <c r="F128" s="90" t="s">
        <v>897</v>
      </c>
      <c r="G128" s="90" t="s">
        <v>775</v>
      </c>
      <c r="H128" s="90" t="s">
        <v>481</v>
      </c>
      <c r="I128" s="90"/>
      <c r="J128" s="90">
        <f t="shared" si="5"/>
        <v>0</v>
      </c>
      <c r="K128" s="90"/>
      <c r="L128" s="90"/>
      <c r="M128" s="90">
        <f t="shared" si="6"/>
        <v>0</v>
      </c>
      <c r="N128" s="90"/>
      <c r="O128" s="90"/>
      <c r="P128" s="90" t="str">
        <f t="shared" si="7"/>
        <v/>
      </c>
      <c r="Q128" s="90"/>
      <c r="R128" s="90"/>
      <c r="S128" s="90" t="str">
        <f t="shared" si="8"/>
        <v/>
      </c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</row>
    <row r="129" spans="1:32" ht="24.95" customHeight="1" x14ac:dyDescent="0.25">
      <c r="A129" s="89">
        <f t="shared" si="9"/>
        <v>126</v>
      </c>
      <c r="B129" s="98" t="s">
        <v>895</v>
      </c>
      <c r="C129" s="90" t="str">
        <f>'LIST OF LINES'!B61</f>
        <v>100-40-SS-DW-16</v>
      </c>
      <c r="D129" s="90" t="s">
        <v>902</v>
      </c>
      <c r="E129" s="90" t="s">
        <v>903</v>
      </c>
      <c r="F129" s="90" t="s">
        <v>904</v>
      </c>
      <c r="G129" s="90" t="s">
        <v>689</v>
      </c>
      <c r="H129" s="90" t="s">
        <v>481</v>
      </c>
      <c r="I129" s="90"/>
      <c r="J129" s="90">
        <f t="shared" si="5"/>
        <v>0</v>
      </c>
      <c r="K129" s="90"/>
      <c r="L129" s="90"/>
      <c r="M129" s="90">
        <f t="shared" si="6"/>
        <v>30</v>
      </c>
      <c r="N129" s="90"/>
      <c r="O129" s="90"/>
      <c r="P129" s="90">
        <f t="shared" si="7"/>
        <v>2199.6</v>
      </c>
      <c r="Q129" s="90"/>
      <c r="R129" s="90"/>
      <c r="S129" s="90">
        <f t="shared" si="8"/>
        <v>0</v>
      </c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</row>
    <row r="130" spans="1:32" ht="24.95" customHeight="1" x14ac:dyDescent="0.25">
      <c r="A130" s="89">
        <f t="shared" si="9"/>
        <v>127</v>
      </c>
      <c r="B130" s="98" t="s">
        <v>895</v>
      </c>
      <c r="C130" s="92" t="str">
        <f>'LIST OF LINES'!$B$64</f>
        <v>25-40-SS-DW-19</v>
      </c>
      <c r="D130" s="92" t="s">
        <v>905</v>
      </c>
      <c r="E130" s="92" t="s">
        <v>906</v>
      </c>
      <c r="F130" s="92" t="s">
        <v>907</v>
      </c>
      <c r="G130" s="92" t="s">
        <v>689</v>
      </c>
      <c r="H130" s="90" t="s">
        <v>481</v>
      </c>
      <c r="I130" s="90"/>
      <c r="J130" s="90">
        <f t="shared" si="5"/>
        <v>0</v>
      </c>
      <c r="K130" s="90"/>
      <c r="L130" s="90"/>
      <c r="M130" s="90">
        <f t="shared" si="6"/>
        <v>30</v>
      </c>
      <c r="N130" s="90"/>
      <c r="O130" s="90"/>
      <c r="P130" s="90">
        <f t="shared" si="7"/>
        <v>144</v>
      </c>
      <c r="Q130" s="90"/>
      <c r="R130" s="90"/>
      <c r="S130" s="90">
        <f t="shared" si="8"/>
        <v>0</v>
      </c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</row>
    <row r="131" spans="1:32" ht="24.95" customHeight="1" x14ac:dyDescent="0.25">
      <c r="A131" s="89">
        <f t="shared" si="9"/>
        <v>128</v>
      </c>
      <c r="B131" s="98" t="s">
        <v>895</v>
      </c>
      <c r="C131" s="92" t="str">
        <f>'LIST OF LINES'!$B$64</f>
        <v>25-40-SS-DW-19</v>
      </c>
      <c r="D131" s="92" t="s">
        <v>908</v>
      </c>
      <c r="E131" s="92" t="s">
        <v>909</v>
      </c>
      <c r="F131" s="92" t="s">
        <v>910</v>
      </c>
      <c r="G131" s="92" t="s">
        <v>689</v>
      </c>
      <c r="H131" s="90" t="s">
        <v>481</v>
      </c>
      <c r="I131" s="90"/>
      <c r="J131" s="90">
        <f t="shared" si="5"/>
        <v>0</v>
      </c>
      <c r="K131" s="90"/>
      <c r="L131" s="90"/>
      <c r="M131" s="90">
        <f t="shared" si="6"/>
        <v>30</v>
      </c>
      <c r="N131" s="90"/>
      <c r="O131" s="90"/>
      <c r="P131" s="90">
        <f t="shared" si="7"/>
        <v>144</v>
      </c>
      <c r="Q131" s="90"/>
      <c r="R131" s="90"/>
      <c r="S131" s="90">
        <f t="shared" si="8"/>
        <v>0</v>
      </c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</row>
    <row r="132" spans="1:32" ht="24.95" customHeight="1" x14ac:dyDescent="0.25">
      <c r="A132" s="89">
        <f t="shared" si="9"/>
        <v>129</v>
      </c>
      <c r="B132" s="98" t="s">
        <v>895</v>
      </c>
      <c r="C132" s="92" t="str">
        <f>'LIST OF LINES'!$B$65</f>
        <v>25-40-SS-DW-20</v>
      </c>
      <c r="D132" s="92" t="s">
        <v>911</v>
      </c>
      <c r="E132" s="92" t="s">
        <v>912</v>
      </c>
      <c r="F132" s="92" t="s">
        <v>913</v>
      </c>
      <c r="G132" s="92" t="s">
        <v>696</v>
      </c>
      <c r="H132" s="90" t="s">
        <v>481</v>
      </c>
      <c r="I132" s="90"/>
      <c r="J132" s="90">
        <f t="shared" ref="J132:J195" si="10">IFERROR(INDEX(Pressures_mbar,MATCH(INDEX(LOL_LineTags,MATCH(C132,LOL_LineNumbers,0)),LineTags,0)),IFERROR(INDEX(LOE_Pressures,MATCH(C132,LOE_EquipNames,0)),INDEX(LOE_Pressures,MATCH(C132,LOE_EquipTags,0))))</f>
        <v>0</v>
      </c>
      <c r="K132" s="90"/>
      <c r="L132" s="90"/>
      <c r="M132" s="90">
        <f t="shared" ref="M132:M195" si="11">IFERROR(INDEX(Temperatures,MATCH(INDEX(LOL_LineTags,MATCH(C132,LOL_LineNumbers,0)),LineTags,0)),IFERROR(INDEX(LOE_Temperatures,MATCH(C132,LOE_EquipNames,0)),INDEX(LOE_Temperatures,MATCH(C132,LOE_EquipTags,0))))</f>
        <v>30</v>
      </c>
      <c r="N132" s="90"/>
      <c r="O132" s="90"/>
      <c r="P132" s="90">
        <f t="shared" ref="P132:P195" si="12">IFERROR(INDEX(FlowRates_kghr,MATCH(INDEX(LOL_LineTags,MATCH(C132,LOL_LineNumbers,0)),LineTags,0)),"")</f>
        <v>144</v>
      </c>
      <c r="Q132" s="90"/>
      <c r="R132" s="90"/>
      <c r="S132" s="90">
        <f t="shared" ref="S132:S195" si="13">IFERROR(INDEX(TDS_Values,MATCH(INDEX(LOL_LineTags,MATCH(C132,LOL_LineNumbers,0)),LineTags,0)),"")</f>
        <v>0</v>
      </c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</row>
    <row r="133" spans="1:32" ht="24.95" customHeight="1" x14ac:dyDescent="0.25">
      <c r="A133" s="89">
        <f t="shared" ref="A133:A196" si="14">A132+1</f>
        <v>130</v>
      </c>
      <c r="B133" s="98" t="s">
        <v>895</v>
      </c>
      <c r="C133" s="92" t="str">
        <f>'LIST OF LINES'!$B$65</f>
        <v>25-40-SS-DW-20</v>
      </c>
      <c r="D133" s="92" t="s">
        <v>914</v>
      </c>
      <c r="E133" s="92" t="s">
        <v>915</v>
      </c>
      <c r="F133" s="92" t="s">
        <v>913</v>
      </c>
      <c r="G133" s="92" t="s">
        <v>916</v>
      </c>
      <c r="H133" s="90" t="s">
        <v>481</v>
      </c>
      <c r="I133" s="90"/>
      <c r="J133" s="90">
        <f t="shared" si="10"/>
        <v>0</v>
      </c>
      <c r="K133" s="90"/>
      <c r="L133" s="90"/>
      <c r="M133" s="90">
        <f t="shared" si="11"/>
        <v>30</v>
      </c>
      <c r="N133" s="90"/>
      <c r="O133" s="90"/>
      <c r="P133" s="90">
        <f t="shared" si="12"/>
        <v>144</v>
      </c>
      <c r="Q133" s="90"/>
      <c r="R133" s="90"/>
      <c r="S133" s="90">
        <f t="shared" si="13"/>
        <v>0</v>
      </c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</row>
    <row r="134" spans="1:32" ht="24.95" customHeight="1" x14ac:dyDescent="0.25">
      <c r="A134" s="89">
        <f t="shared" si="14"/>
        <v>131</v>
      </c>
      <c r="B134" s="98" t="s">
        <v>895</v>
      </c>
      <c r="C134" s="92" t="str">
        <f>LIST_OF_EQUIPMENT!$B$3</f>
        <v>LTFV</v>
      </c>
      <c r="D134" s="92" t="s">
        <v>917</v>
      </c>
      <c r="E134" s="92"/>
      <c r="F134" s="92" t="s">
        <v>897</v>
      </c>
      <c r="G134" s="92" t="s">
        <v>766</v>
      </c>
      <c r="H134" s="90" t="s">
        <v>481</v>
      </c>
      <c r="I134" s="90"/>
      <c r="J134" s="90">
        <f t="shared" si="10"/>
        <v>67.96946100000001</v>
      </c>
      <c r="K134" s="90"/>
      <c r="L134" s="90"/>
      <c r="M134" s="90">
        <f t="shared" si="11"/>
        <v>38.388778286519027</v>
      </c>
      <c r="N134" s="90"/>
      <c r="O134" s="90"/>
      <c r="P134" s="90" t="str">
        <f t="shared" si="12"/>
        <v/>
      </c>
      <c r="Q134" s="90"/>
      <c r="R134" s="90"/>
      <c r="S134" s="90" t="str">
        <f t="shared" si="13"/>
        <v/>
      </c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</row>
    <row r="135" spans="1:32" ht="24.95" customHeight="1" x14ac:dyDescent="0.25">
      <c r="A135" s="89">
        <f t="shared" si="14"/>
        <v>132</v>
      </c>
      <c r="B135" s="98" t="s">
        <v>895</v>
      </c>
      <c r="C135" s="92" t="str">
        <f>LIST_OF_EQUIPMENT!$B$3</f>
        <v>LTFV</v>
      </c>
      <c r="D135" s="92" t="s">
        <v>918</v>
      </c>
      <c r="E135" s="92" t="s">
        <v>919</v>
      </c>
      <c r="F135" s="92" t="s">
        <v>897</v>
      </c>
      <c r="G135" s="92" t="s">
        <v>769</v>
      </c>
      <c r="H135" s="90" t="s">
        <v>481</v>
      </c>
      <c r="I135" s="90"/>
      <c r="J135" s="90">
        <f t="shared" si="10"/>
        <v>67.96946100000001</v>
      </c>
      <c r="K135" s="90"/>
      <c r="L135" s="90"/>
      <c r="M135" s="90">
        <f t="shared" si="11"/>
        <v>38.388778286519027</v>
      </c>
      <c r="N135" s="90"/>
      <c r="O135" s="90"/>
      <c r="P135" s="90" t="str">
        <f t="shared" si="12"/>
        <v/>
      </c>
      <c r="Q135" s="90"/>
      <c r="R135" s="90"/>
      <c r="S135" s="90" t="str">
        <f t="shared" si="13"/>
        <v/>
      </c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</row>
    <row r="136" spans="1:32" ht="24.95" customHeight="1" x14ac:dyDescent="0.25">
      <c r="A136" s="89">
        <f t="shared" si="14"/>
        <v>133</v>
      </c>
      <c r="B136" s="98" t="s">
        <v>895</v>
      </c>
      <c r="C136" s="92" t="str">
        <f>LIST_OF_EQUIPMENT!$B$3</f>
        <v>LTFV</v>
      </c>
      <c r="D136" s="92" t="s">
        <v>920</v>
      </c>
      <c r="E136" s="92"/>
      <c r="F136" s="92" t="s">
        <v>897</v>
      </c>
      <c r="G136" s="92" t="s">
        <v>772</v>
      </c>
      <c r="H136" s="90" t="s">
        <v>481</v>
      </c>
      <c r="I136" s="90"/>
      <c r="J136" s="90">
        <f t="shared" si="10"/>
        <v>67.96946100000001</v>
      </c>
      <c r="K136" s="90"/>
      <c r="L136" s="90"/>
      <c r="M136" s="90">
        <f t="shared" si="11"/>
        <v>38.388778286519027</v>
      </c>
      <c r="N136" s="90"/>
      <c r="O136" s="90"/>
      <c r="P136" s="90" t="str">
        <f t="shared" si="12"/>
        <v/>
      </c>
      <c r="Q136" s="90"/>
      <c r="R136" s="90"/>
      <c r="S136" s="90" t="str">
        <f t="shared" si="13"/>
        <v/>
      </c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pans="1:32" ht="24.95" customHeight="1" x14ac:dyDescent="0.25">
      <c r="A137" s="89">
        <f t="shared" si="14"/>
        <v>134</v>
      </c>
      <c r="B137" s="98" t="s">
        <v>895</v>
      </c>
      <c r="C137" s="92" t="str">
        <f>LIST_OF_EQUIPMENT!$B$3</f>
        <v>LTFV</v>
      </c>
      <c r="D137" s="92" t="s">
        <v>921</v>
      </c>
      <c r="E137" s="92"/>
      <c r="F137" s="92" t="s">
        <v>897</v>
      </c>
      <c r="G137" s="92" t="s">
        <v>775</v>
      </c>
      <c r="H137" s="90" t="s">
        <v>481</v>
      </c>
      <c r="I137" s="90"/>
      <c r="J137" s="90">
        <f t="shared" si="10"/>
        <v>67.96946100000001</v>
      </c>
      <c r="K137" s="90"/>
      <c r="L137" s="90"/>
      <c r="M137" s="90">
        <f t="shared" si="11"/>
        <v>38.388778286519027</v>
      </c>
      <c r="N137" s="90"/>
      <c r="O137" s="90"/>
      <c r="P137" s="90" t="str">
        <f t="shared" si="12"/>
        <v/>
      </c>
      <c r="Q137" s="90"/>
      <c r="R137" s="90"/>
      <c r="S137" s="90" t="str">
        <f t="shared" si="13"/>
        <v/>
      </c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</row>
    <row r="138" spans="1:32" ht="24.95" customHeight="1" x14ac:dyDescent="0.25">
      <c r="A138" s="89">
        <f t="shared" si="14"/>
        <v>135</v>
      </c>
      <c r="B138" s="98" t="s">
        <v>895</v>
      </c>
      <c r="C138" s="92" t="str">
        <f>LIST_OF_EQUIPMENT!$B$3</f>
        <v>LTFV</v>
      </c>
      <c r="D138" s="90" t="s">
        <v>922</v>
      </c>
      <c r="E138" s="90"/>
      <c r="F138" s="90" t="s">
        <v>372</v>
      </c>
      <c r="G138" s="90" t="s">
        <v>702</v>
      </c>
      <c r="H138" s="90" t="s">
        <v>481</v>
      </c>
      <c r="I138" s="90"/>
      <c r="J138" s="90">
        <f t="shared" si="10"/>
        <v>67.96946100000001</v>
      </c>
      <c r="K138" s="90"/>
      <c r="L138" s="90"/>
      <c r="M138" s="90">
        <f t="shared" si="11"/>
        <v>38.388778286519027</v>
      </c>
      <c r="N138" s="90"/>
      <c r="O138" s="90"/>
      <c r="P138" s="90" t="str">
        <f t="shared" si="12"/>
        <v/>
      </c>
      <c r="Q138" s="90"/>
      <c r="R138" s="90"/>
      <c r="S138" s="90" t="str">
        <f t="shared" si="13"/>
        <v/>
      </c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</row>
    <row r="139" spans="1:32" ht="24.95" customHeight="1" x14ac:dyDescent="0.25">
      <c r="A139" s="89">
        <f t="shared" si="14"/>
        <v>136</v>
      </c>
      <c r="B139" s="98" t="s">
        <v>895</v>
      </c>
      <c r="C139" s="92" t="str">
        <f>LIST_OF_EQUIPMENT!$B$3</f>
        <v>LTFV</v>
      </c>
      <c r="D139" s="90" t="s">
        <v>923</v>
      </c>
      <c r="E139" s="90"/>
      <c r="F139" s="90" t="s">
        <v>372</v>
      </c>
      <c r="G139" s="90" t="s">
        <v>705</v>
      </c>
      <c r="H139" s="90" t="s">
        <v>481</v>
      </c>
      <c r="I139" s="90"/>
      <c r="J139" s="90">
        <f t="shared" si="10"/>
        <v>67.96946100000001</v>
      </c>
      <c r="K139" s="90"/>
      <c r="L139" s="90"/>
      <c r="M139" s="90">
        <f t="shared" si="11"/>
        <v>38.388778286519027</v>
      </c>
      <c r="N139" s="90"/>
      <c r="O139" s="90"/>
      <c r="P139" s="90" t="str">
        <f t="shared" si="12"/>
        <v/>
      </c>
      <c r="Q139" s="90"/>
      <c r="R139" s="90"/>
      <c r="S139" s="90" t="str">
        <f t="shared" si="13"/>
        <v/>
      </c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</row>
    <row r="140" spans="1:32" ht="24.95" customHeight="1" x14ac:dyDescent="0.25">
      <c r="A140" s="89">
        <f t="shared" si="14"/>
        <v>137</v>
      </c>
      <c r="B140" s="98" t="s">
        <v>895</v>
      </c>
      <c r="C140" s="90" t="str">
        <f>'LIST OF LINES'!$B$69</f>
        <v>80-40-SS-DW-24</v>
      </c>
      <c r="D140" s="92" t="s">
        <v>924</v>
      </c>
      <c r="E140" s="92" t="s">
        <v>906</v>
      </c>
      <c r="F140" s="92" t="s">
        <v>925</v>
      </c>
      <c r="G140" s="92" t="s">
        <v>689</v>
      </c>
      <c r="H140" s="90" t="s">
        <v>481</v>
      </c>
      <c r="I140" s="90"/>
      <c r="J140" s="90">
        <f t="shared" si="10"/>
        <v>68</v>
      </c>
      <c r="K140" s="90"/>
      <c r="L140" s="90"/>
      <c r="M140" s="90">
        <f t="shared" si="11"/>
        <v>38.39</v>
      </c>
      <c r="N140" s="90"/>
      <c r="O140" s="90"/>
      <c r="P140" s="90">
        <f t="shared" si="12"/>
        <v>21456</v>
      </c>
      <c r="Q140" s="90"/>
      <c r="R140" s="90"/>
      <c r="S140" s="90" t="str">
        <f t="shared" si="13"/>
        <v>NIL</v>
      </c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</row>
    <row r="141" spans="1:32" ht="24.95" customHeight="1" x14ac:dyDescent="0.25">
      <c r="A141" s="89">
        <f t="shared" si="14"/>
        <v>138</v>
      </c>
      <c r="B141" s="98" t="s">
        <v>895</v>
      </c>
      <c r="C141" s="90" t="str">
        <f>'LIST OF LINES'!$B$69</f>
        <v>80-40-SS-DW-24</v>
      </c>
      <c r="D141" s="92" t="s">
        <v>926</v>
      </c>
      <c r="E141" s="92" t="s">
        <v>909</v>
      </c>
      <c r="F141" s="92" t="s">
        <v>927</v>
      </c>
      <c r="G141" s="92" t="s">
        <v>689</v>
      </c>
      <c r="H141" s="90" t="s">
        <v>481</v>
      </c>
      <c r="I141" s="90"/>
      <c r="J141" s="90">
        <f t="shared" si="10"/>
        <v>68</v>
      </c>
      <c r="K141" s="90"/>
      <c r="L141" s="90"/>
      <c r="M141" s="90">
        <f t="shared" si="11"/>
        <v>38.39</v>
      </c>
      <c r="N141" s="90"/>
      <c r="O141" s="90"/>
      <c r="P141" s="90">
        <f t="shared" si="12"/>
        <v>21456</v>
      </c>
      <c r="Q141" s="90"/>
      <c r="R141" s="90"/>
      <c r="S141" s="90" t="str">
        <f t="shared" si="13"/>
        <v>NIL</v>
      </c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</row>
    <row r="142" spans="1:32" ht="24.95" customHeight="1" x14ac:dyDescent="0.25">
      <c r="A142" s="89">
        <f t="shared" si="14"/>
        <v>139</v>
      </c>
      <c r="B142" s="98" t="s">
        <v>895</v>
      </c>
      <c r="C142" s="90" t="str">
        <f>'LIST OF LINES'!$B$69</f>
        <v>80-40-SS-DW-24</v>
      </c>
      <c r="D142" s="92" t="s">
        <v>928</v>
      </c>
      <c r="E142" s="92" t="s">
        <v>912</v>
      </c>
      <c r="F142" s="92" t="s">
        <v>929</v>
      </c>
      <c r="G142" s="92" t="s">
        <v>696</v>
      </c>
      <c r="H142" s="90" t="s">
        <v>481</v>
      </c>
      <c r="I142" s="90"/>
      <c r="J142" s="90">
        <f t="shared" si="10"/>
        <v>68</v>
      </c>
      <c r="K142" s="90"/>
      <c r="L142" s="90"/>
      <c r="M142" s="90">
        <f t="shared" si="11"/>
        <v>38.39</v>
      </c>
      <c r="N142" s="90"/>
      <c r="O142" s="90"/>
      <c r="P142" s="90">
        <f t="shared" si="12"/>
        <v>21456</v>
      </c>
      <c r="Q142" s="90"/>
      <c r="R142" s="90"/>
      <c r="S142" s="90" t="str">
        <f t="shared" si="13"/>
        <v>NIL</v>
      </c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</row>
    <row r="143" spans="1:32" ht="24.95" customHeight="1" x14ac:dyDescent="0.25">
      <c r="A143" s="89">
        <f t="shared" si="14"/>
        <v>140</v>
      </c>
      <c r="B143" s="98" t="s">
        <v>895</v>
      </c>
      <c r="C143" s="90" t="str">
        <f>'LIST OF LINES'!$B$69</f>
        <v>80-40-SS-DW-24</v>
      </c>
      <c r="D143" s="92" t="s">
        <v>930</v>
      </c>
      <c r="E143" s="92" t="s">
        <v>915</v>
      </c>
      <c r="F143" s="92" t="s">
        <v>929</v>
      </c>
      <c r="G143" s="92" t="s">
        <v>916</v>
      </c>
      <c r="H143" s="90" t="s">
        <v>481</v>
      </c>
      <c r="I143" s="90"/>
      <c r="J143" s="90">
        <f t="shared" si="10"/>
        <v>68</v>
      </c>
      <c r="K143" s="90"/>
      <c r="L143" s="90"/>
      <c r="M143" s="90">
        <f t="shared" si="11"/>
        <v>38.39</v>
      </c>
      <c r="N143" s="90"/>
      <c r="O143" s="90"/>
      <c r="P143" s="90">
        <f t="shared" si="12"/>
        <v>21456</v>
      </c>
      <c r="Q143" s="90"/>
      <c r="R143" s="90"/>
      <c r="S143" s="90" t="str">
        <f t="shared" si="13"/>
        <v>NIL</v>
      </c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</row>
    <row r="144" spans="1:32" ht="24.95" customHeight="1" x14ac:dyDescent="0.25">
      <c r="A144" s="89">
        <f t="shared" si="14"/>
        <v>141</v>
      </c>
      <c r="B144" s="98" t="s">
        <v>895</v>
      </c>
      <c r="C144" s="90" t="str">
        <f>'LIST OF LINES'!$B$70</f>
        <v>80-40-SS-DW-25</v>
      </c>
      <c r="D144" s="90" t="s">
        <v>931</v>
      </c>
      <c r="E144" s="90"/>
      <c r="F144" s="90" t="s">
        <v>932</v>
      </c>
      <c r="G144" s="90" t="s">
        <v>707</v>
      </c>
      <c r="H144" s="90" t="s">
        <v>481</v>
      </c>
      <c r="I144" s="90"/>
      <c r="J144" s="90">
        <f t="shared" si="10"/>
        <v>1100</v>
      </c>
      <c r="K144" s="90"/>
      <c r="L144" s="90"/>
      <c r="M144" s="90">
        <f t="shared" si="11"/>
        <v>65</v>
      </c>
      <c r="N144" s="90"/>
      <c r="O144" s="90"/>
      <c r="P144" s="90">
        <f t="shared" si="12"/>
        <v>22500</v>
      </c>
      <c r="Q144" s="90"/>
      <c r="R144" s="90"/>
      <c r="S144" s="90" t="str">
        <f t="shared" si="13"/>
        <v>NIL</v>
      </c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</row>
    <row r="145" spans="1:32" ht="24.95" customHeight="1" x14ac:dyDescent="0.25">
      <c r="A145" s="89">
        <f t="shared" si="14"/>
        <v>142</v>
      </c>
      <c r="B145" s="98" t="s">
        <v>895</v>
      </c>
      <c r="C145" s="90" t="str">
        <f>'LIST OF LINES'!$B$70</f>
        <v>80-40-SS-DW-25</v>
      </c>
      <c r="D145" s="90" t="s">
        <v>933</v>
      </c>
      <c r="E145" s="90"/>
      <c r="F145" s="90" t="s">
        <v>932</v>
      </c>
      <c r="G145" s="90" t="s">
        <v>702</v>
      </c>
      <c r="H145" s="90" t="s">
        <v>481</v>
      </c>
      <c r="I145" s="90"/>
      <c r="J145" s="90">
        <f t="shared" si="10"/>
        <v>1100</v>
      </c>
      <c r="K145" s="90"/>
      <c r="L145" s="90"/>
      <c r="M145" s="90">
        <f t="shared" si="11"/>
        <v>65</v>
      </c>
      <c r="N145" s="90"/>
      <c r="O145" s="90"/>
      <c r="P145" s="90">
        <f t="shared" si="12"/>
        <v>22500</v>
      </c>
      <c r="Q145" s="90"/>
      <c r="R145" s="90"/>
      <c r="S145" s="90" t="str">
        <f t="shared" si="13"/>
        <v>NIL</v>
      </c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</row>
    <row r="146" spans="1:32" ht="24.95" customHeight="1" x14ac:dyDescent="0.25">
      <c r="A146" s="89">
        <f t="shared" si="14"/>
        <v>143</v>
      </c>
      <c r="B146" s="98" t="s">
        <v>895</v>
      </c>
      <c r="C146" s="90" t="str">
        <f>'LIST OF LINES'!$B$70</f>
        <v>80-40-SS-DW-25</v>
      </c>
      <c r="D146" s="90" t="s">
        <v>934</v>
      </c>
      <c r="E146" s="90"/>
      <c r="F146" s="90" t="s">
        <v>932</v>
      </c>
      <c r="G146" s="90" t="s">
        <v>705</v>
      </c>
      <c r="H146" s="90" t="s">
        <v>481</v>
      </c>
      <c r="I146" s="90"/>
      <c r="J146" s="90">
        <f t="shared" si="10"/>
        <v>1100</v>
      </c>
      <c r="K146" s="90"/>
      <c r="L146" s="90"/>
      <c r="M146" s="90">
        <f t="shared" si="11"/>
        <v>65</v>
      </c>
      <c r="N146" s="90"/>
      <c r="O146" s="90"/>
      <c r="P146" s="90">
        <f t="shared" si="12"/>
        <v>22500</v>
      </c>
      <c r="Q146" s="90"/>
      <c r="R146" s="90"/>
      <c r="S146" s="90" t="str">
        <f t="shared" si="13"/>
        <v>NIL</v>
      </c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</row>
    <row r="147" spans="1:32" ht="24.95" customHeight="1" x14ac:dyDescent="0.25">
      <c r="A147" s="89">
        <f t="shared" si="14"/>
        <v>144</v>
      </c>
      <c r="B147" s="98" t="s">
        <v>895</v>
      </c>
      <c r="C147" s="90" t="str">
        <f>'LIST OF LINES'!$B$70</f>
        <v>80-40-SS-DW-25</v>
      </c>
      <c r="D147" s="92" t="s">
        <v>935</v>
      </c>
      <c r="E147" s="92"/>
      <c r="F147" s="92" t="s">
        <v>936</v>
      </c>
      <c r="G147" s="92" t="s">
        <v>766</v>
      </c>
      <c r="H147" s="90" t="s">
        <v>481</v>
      </c>
      <c r="I147" s="90"/>
      <c r="J147" s="90">
        <f t="shared" si="10"/>
        <v>1100</v>
      </c>
      <c r="K147" s="90"/>
      <c r="L147" s="90"/>
      <c r="M147" s="90">
        <f t="shared" si="11"/>
        <v>65</v>
      </c>
      <c r="N147" s="90"/>
      <c r="O147" s="90"/>
      <c r="P147" s="90">
        <f t="shared" si="12"/>
        <v>22500</v>
      </c>
      <c r="Q147" s="90"/>
      <c r="R147" s="90"/>
      <c r="S147" s="90" t="str">
        <f t="shared" si="13"/>
        <v>NIL</v>
      </c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</row>
    <row r="148" spans="1:32" ht="24.95" customHeight="1" x14ac:dyDescent="0.25">
      <c r="A148" s="89">
        <f t="shared" si="14"/>
        <v>145</v>
      </c>
      <c r="B148" s="98" t="s">
        <v>895</v>
      </c>
      <c r="C148" s="90" t="str">
        <f>LIST_OF_EQUIPMENT!$B$4</f>
        <v>HTFV</v>
      </c>
      <c r="D148" s="92" t="s">
        <v>937</v>
      </c>
      <c r="E148" s="92" t="s">
        <v>938</v>
      </c>
      <c r="F148" s="92" t="s">
        <v>936</v>
      </c>
      <c r="G148" s="92" t="s">
        <v>769</v>
      </c>
      <c r="H148" s="90" t="s">
        <v>481</v>
      </c>
      <c r="I148" s="90"/>
      <c r="J148" s="90">
        <f t="shared" si="10"/>
        <v>320.45592342197199</v>
      </c>
      <c r="K148" s="90"/>
      <c r="L148" s="90"/>
      <c r="M148" s="90">
        <f t="shared" si="11"/>
        <v>70.600000000000023</v>
      </c>
      <c r="N148" s="90"/>
      <c r="O148" s="90"/>
      <c r="P148" s="90" t="str">
        <f t="shared" si="12"/>
        <v/>
      </c>
      <c r="Q148" s="90"/>
      <c r="R148" s="90"/>
      <c r="S148" s="90" t="str">
        <f t="shared" si="13"/>
        <v/>
      </c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pans="1:32" ht="24.95" customHeight="1" x14ac:dyDescent="0.25">
      <c r="A149" s="89">
        <f t="shared" si="14"/>
        <v>146</v>
      </c>
      <c r="B149" s="98" t="s">
        <v>895</v>
      </c>
      <c r="C149" s="90" t="str">
        <f>LIST_OF_EQUIPMENT!$B$4</f>
        <v>HTFV</v>
      </c>
      <c r="D149" s="92" t="s">
        <v>939</v>
      </c>
      <c r="E149" s="92"/>
      <c r="F149" s="92" t="s">
        <v>936</v>
      </c>
      <c r="G149" s="92" t="s">
        <v>772</v>
      </c>
      <c r="H149" s="90" t="s">
        <v>481</v>
      </c>
      <c r="I149" s="90"/>
      <c r="J149" s="90">
        <f t="shared" si="10"/>
        <v>320.45592342197199</v>
      </c>
      <c r="K149" s="90"/>
      <c r="L149" s="90"/>
      <c r="M149" s="90">
        <f t="shared" si="11"/>
        <v>70.600000000000023</v>
      </c>
      <c r="N149" s="90"/>
      <c r="O149" s="90"/>
      <c r="P149" s="90" t="str">
        <f t="shared" si="12"/>
        <v/>
      </c>
      <c r="Q149" s="90"/>
      <c r="R149" s="90"/>
      <c r="S149" s="90" t="str">
        <f t="shared" si="13"/>
        <v/>
      </c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</row>
    <row r="150" spans="1:32" ht="24.95" customHeight="1" x14ac:dyDescent="0.25">
      <c r="A150" s="89">
        <f t="shared" si="14"/>
        <v>147</v>
      </c>
      <c r="B150" s="98" t="s">
        <v>895</v>
      </c>
      <c r="C150" s="90" t="str">
        <f>LIST_OF_EQUIPMENT!$B$4</f>
        <v>HTFV</v>
      </c>
      <c r="D150" s="92" t="s">
        <v>940</v>
      </c>
      <c r="E150" s="92"/>
      <c r="F150" s="92" t="s">
        <v>936</v>
      </c>
      <c r="G150" s="92" t="s">
        <v>775</v>
      </c>
      <c r="H150" s="90" t="s">
        <v>481</v>
      </c>
      <c r="I150" s="90"/>
      <c r="J150" s="90">
        <f t="shared" si="10"/>
        <v>320.45592342197199</v>
      </c>
      <c r="K150" s="90"/>
      <c r="L150" s="90"/>
      <c r="M150" s="90">
        <f t="shared" si="11"/>
        <v>70.600000000000023</v>
      </c>
      <c r="N150" s="90"/>
      <c r="O150" s="90"/>
      <c r="P150" s="90" t="str">
        <f t="shared" si="12"/>
        <v/>
      </c>
      <c r="Q150" s="90"/>
      <c r="R150" s="90"/>
      <c r="S150" s="90" t="str">
        <f t="shared" si="13"/>
        <v/>
      </c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</row>
    <row r="151" spans="1:32" ht="24.95" customHeight="1" x14ac:dyDescent="0.25">
      <c r="A151" s="89">
        <f t="shared" si="14"/>
        <v>148</v>
      </c>
      <c r="B151" s="98" t="s">
        <v>895</v>
      </c>
      <c r="C151" s="90" t="str">
        <f>LIST_OF_EQUIPMENT!$B$4</f>
        <v>HTFV</v>
      </c>
      <c r="D151" s="90" t="s">
        <v>941</v>
      </c>
      <c r="E151" s="90"/>
      <c r="F151" s="90" t="s">
        <v>374</v>
      </c>
      <c r="G151" s="90" t="s">
        <v>702</v>
      </c>
      <c r="H151" s="90" t="s">
        <v>481</v>
      </c>
      <c r="I151" s="90"/>
      <c r="J151" s="90">
        <f t="shared" si="10"/>
        <v>320.45592342197199</v>
      </c>
      <c r="K151" s="90"/>
      <c r="L151" s="90"/>
      <c r="M151" s="90">
        <f t="shared" si="11"/>
        <v>70.600000000000023</v>
      </c>
      <c r="N151" s="90"/>
      <c r="O151" s="90"/>
      <c r="P151" s="90" t="str">
        <f t="shared" si="12"/>
        <v/>
      </c>
      <c r="Q151" s="90"/>
      <c r="R151" s="90"/>
      <c r="S151" s="90" t="str">
        <f t="shared" si="13"/>
        <v/>
      </c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</row>
    <row r="152" spans="1:32" ht="24.95" customHeight="1" x14ac:dyDescent="0.25">
      <c r="A152" s="89">
        <f t="shared" si="14"/>
        <v>149</v>
      </c>
      <c r="B152" s="98" t="s">
        <v>895</v>
      </c>
      <c r="C152" s="90" t="str">
        <f>LIST_OF_EQUIPMENT!$B$4</f>
        <v>HTFV</v>
      </c>
      <c r="D152" s="90" t="s">
        <v>942</v>
      </c>
      <c r="E152" s="90"/>
      <c r="F152" s="90" t="s">
        <v>374</v>
      </c>
      <c r="G152" s="90" t="s">
        <v>705</v>
      </c>
      <c r="H152" s="90" t="s">
        <v>481</v>
      </c>
      <c r="I152" s="90"/>
      <c r="J152" s="90">
        <f t="shared" si="10"/>
        <v>320.45592342197199</v>
      </c>
      <c r="K152" s="90"/>
      <c r="L152" s="90"/>
      <c r="M152" s="90">
        <f t="shared" si="11"/>
        <v>70.600000000000023</v>
      </c>
      <c r="N152" s="90"/>
      <c r="O152" s="90"/>
      <c r="P152" s="90" t="str">
        <f t="shared" si="12"/>
        <v/>
      </c>
      <c r="Q152" s="90"/>
      <c r="R152" s="90"/>
      <c r="S152" s="90" t="str">
        <f t="shared" si="13"/>
        <v/>
      </c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</row>
    <row r="153" spans="1:32" ht="24.95" customHeight="1" x14ac:dyDescent="0.25">
      <c r="A153" s="89">
        <f t="shared" si="14"/>
        <v>150</v>
      </c>
      <c r="B153" s="98" t="s">
        <v>895</v>
      </c>
      <c r="C153" s="90" t="str">
        <f>'LIST OF LINES'!$B$74</f>
        <v>50-40-SS-DW-29</v>
      </c>
      <c r="D153" s="92" t="s">
        <v>943</v>
      </c>
      <c r="E153" s="92" t="s">
        <v>944</v>
      </c>
      <c r="F153" s="92" t="s">
        <v>945</v>
      </c>
      <c r="G153" s="92" t="s">
        <v>689</v>
      </c>
      <c r="H153" s="90" t="s">
        <v>481</v>
      </c>
      <c r="I153" s="90"/>
      <c r="J153" s="90">
        <f t="shared" si="10"/>
        <v>320.5</v>
      </c>
      <c r="K153" s="90"/>
      <c r="L153" s="90"/>
      <c r="M153" s="90">
        <f t="shared" si="11"/>
        <v>69.56</v>
      </c>
      <c r="N153" s="90"/>
      <c r="O153" s="90"/>
      <c r="P153" s="90">
        <f t="shared" si="12"/>
        <v>16411.804725991031</v>
      </c>
      <c r="Q153" s="90"/>
      <c r="R153" s="90"/>
      <c r="S153" s="90" t="str">
        <f t="shared" si="13"/>
        <v>NIL</v>
      </c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</row>
    <row r="154" spans="1:32" ht="24.95" customHeight="1" x14ac:dyDescent="0.25">
      <c r="A154" s="89">
        <f t="shared" si="14"/>
        <v>151</v>
      </c>
      <c r="B154" s="98" t="s">
        <v>895</v>
      </c>
      <c r="C154" s="90" t="str">
        <f>'LIST OF LINES'!$B$74</f>
        <v>50-40-SS-DW-29</v>
      </c>
      <c r="D154" s="92" t="s">
        <v>946</v>
      </c>
      <c r="E154" s="92" t="s">
        <v>947</v>
      </c>
      <c r="F154" s="92" t="s">
        <v>948</v>
      </c>
      <c r="G154" s="92" t="s">
        <v>689</v>
      </c>
      <c r="H154" s="90" t="s">
        <v>481</v>
      </c>
      <c r="I154" s="90"/>
      <c r="J154" s="90">
        <f t="shared" si="10"/>
        <v>320.5</v>
      </c>
      <c r="K154" s="90"/>
      <c r="L154" s="90"/>
      <c r="M154" s="90">
        <f t="shared" si="11"/>
        <v>69.56</v>
      </c>
      <c r="N154" s="90"/>
      <c r="O154" s="90"/>
      <c r="P154" s="90">
        <f t="shared" si="12"/>
        <v>16411.804725991031</v>
      </c>
      <c r="Q154" s="90"/>
      <c r="R154" s="90"/>
      <c r="S154" s="90" t="str">
        <f t="shared" si="13"/>
        <v>NIL</v>
      </c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</row>
    <row r="155" spans="1:32" ht="24.95" customHeight="1" x14ac:dyDescent="0.25">
      <c r="A155" s="89">
        <f t="shared" si="14"/>
        <v>152</v>
      </c>
      <c r="B155" s="98" t="s">
        <v>895</v>
      </c>
      <c r="C155" s="90" t="str">
        <f>'LIST OF LINES'!$B$74</f>
        <v>50-40-SS-DW-29</v>
      </c>
      <c r="D155" s="92" t="s">
        <v>949</v>
      </c>
      <c r="E155" s="92" t="s">
        <v>950</v>
      </c>
      <c r="F155" s="92" t="s">
        <v>951</v>
      </c>
      <c r="G155" s="92" t="s">
        <v>696</v>
      </c>
      <c r="H155" s="90" t="s">
        <v>481</v>
      </c>
      <c r="I155" s="90"/>
      <c r="J155" s="90">
        <f t="shared" si="10"/>
        <v>320.5</v>
      </c>
      <c r="K155" s="90"/>
      <c r="L155" s="90"/>
      <c r="M155" s="90">
        <f t="shared" si="11"/>
        <v>69.56</v>
      </c>
      <c r="N155" s="90"/>
      <c r="O155" s="90"/>
      <c r="P155" s="90">
        <f t="shared" si="12"/>
        <v>16411.804725991031</v>
      </c>
      <c r="Q155" s="90"/>
      <c r="R155" s="90"/>
      <c r="S155" s="90" t="str">
        <f t="shared" si="13"/>
        <v>NIL</v>
      </c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</row>
    <row r="156" spans="1:32" ht="24.95" customHeight="1" x14ac:dyDescent="0.25">
      <c r="A156" s="89">
        <f t="shared" si="14"/>
        <v>153</v>
      </c>
      <c r="B156" s="98" t="s">
        <v>895</v>
      </c>
      <c r="C156" s="90" t="str">
        <f>'LIST OF LINES'!$B$74</f>
        <v>50-40-SS-DW-29</v>
      </c>
      <c r="D156" s="92" t="s">
        <v>952</v>
      </c>
      <c r="E156" s="92" t="s">
        <v>953</v>
      </c>
      <c r="F156" s="92" t="s">
        <v>951</v>
      </c>
      <c r="G156" s="92" t="s">
        <v>916</v>
      </c>
      <c r="H156" s="90" t="s">
        <v>481</v>
      </c>
      <c r="I156" s="90"/>
      <c r="J156" s="90">
        <f t="shared" si="10"/>
        <v>320.5</v>
      </c>
      <c r="K156" s="90"/>
      <c r="L156" s="90"/>
      <c r="M156" s="90">
        <f t="shared" si="11"/>
        <v>69.56</v>
      </c>
      <c r="N156" s="90"/>
      <c r="O156" s="90"/>
      <c r="P156" s="90">
        <f t="shared" si="12"/>
        <v>16411.804725991031</v>
      </c>
      <c r="Q156" s="90"/>
      <c r="R156" s="90"/>
      <c r="S156" s="90" t="str">
        <f t="shared" si="13"/>
        <v>NIL</v>
      </c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</row>
    <row r="157" spans="1:32" ht="24.95" customHeight="1" x14ac:dyDescent="0.25">
      <c r="A157" s="89">
        <f t="shared" si="14"/>
        <v>154</v>
      </c>
      <c r="B157" s="98" t="s">
        <v>895</v>
      </c>
      <c r="C157" s="90" t="str">
        <f>'LIST OF LINES'!$B$75</f>
        <v>50-40-SS-DW-30</v>
      </c>
      <c r="D157" s="90" t="s">
        <v>954</v>
      </c>
      <c r="E157" s="90"/>
      <c r="F157" s="90" t="s">
        <v>955</v>
      </c>
      <c r="G157" s="90" t="s">
        <v>707</v>
      </c>
      <c r="H157" s="90" t="s">
        <v>481</v>
      </c>
      <c r="I157" s="90"/>
      <c r="J157" s="90">
        <f t="shared" si="10"/>
        <v>1200</v>
      </c>
      <c r="K157" s="90"/>
      <c r="L157" s="90"/>
      <c r="M157" s="90">
        <f t="shared" si="11"/>
        <v>78</v>
      </c>
      <c r="N157" s="90"/>
      <c r="O157" s="90"/>
      <c r="P157" s="90">
        <f t="shared" si="12"/>
        <v>11160</v>
      </c>
      <c r="Q157" s="90"/>
      <c r="R157" s="90"/>
      <c r="S157" s="90" t="str">
        <f t="shared" si="13"/>
        <v>NIL</v>
      </c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</row>
    <row r="158" spans="1:32" ht="24.95" customHeight="1" x14ac:dyDescent="0.25">
      <c r="A158" s="89">
        <f t="shared" si="14"/>
        <v>155</v>
      </c>
      <c r="B158" s="98" t="s">
        <v>895</v>
      </c>
      <c r="C158" s="90" t="str">
        <f>'LIST OF LINES'!$B$75</f>
        <v>50-40-SS-DW-30</v>
      </c>
      <c r="D158" s="90" t="s">
        <v>956</v>
      </c>
      <c r="E158" s="90"/>
      <c r="F158" s="90" t="s">
        <v>955</v>
      </c>
      <c r="G158" s="90" t="s">
        <v>702</v>
      </c>
      <c r="H158" s="90" t="s">
        <v>481</v>
      </c>
      <c r="I158" s="90"/>
      <c r="J158" s="90">
        <f t="shared" si="10"/>
        <v>1200</v>
      </c>
      <c r="K158" s="90"/>
      <c r="L158" s="90"/>
      <c r="M158" s="90">
        <f t="shared" si="11"/>
        <v>78</v>
      </c>
      <c r="N158" s="90"/>
      <c r="O158" s="90"/>
      <c r="P158" s="90">
        <f t="shared" si="12"/>
        <v>11160</v>
      </c>
      <c r="Q158" s="90"/>
      <c r="R158" s="90"/>
      <c r="S158" s="90" t="str">
        <f t="shared" si="13"/>
        <v>NIL</v>
      </c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</row>
    <row r="159" spans="1:32" ht="24.95" customHeight="1" x14ac:dyDescent="0.25">
      <c r="A159" s="89">
        <f t="shared" si="14"/>
        <v>156</v>
      </c>
      <c r="B159" s="98" t="s">
        <v>895</v>
      </c>
      <c r="C159" s="90" t="str">
        <f>'LIST OF LINES'!$B$75</f>
        <v>50-40-SS-DW-30</v>
      </c>
      <c r="D159" s="90" t="s">
        <v>957</v>
      </c>
      <c r="E159" s="90"/>
      <c r="F159" s="90" t="s">
        <v>955</v>
      </c>
      <c r="G159" s="90" t="s">
        <v>705</v>
      </c>
      <c r="H159" s="90" t="s">
        <v>481</v>
      </c>
      <c r="I159" s="90"/>
      <c r="J159" s="90">
        <f t="shared" si="10"/>
        <v>1200</v>
      </c>
      <c r="K159" s="90"/>
      <c r="L159" s="90"/>
      <c r="M159" s="90">
        <f t="shared" si="11"/>
        <v>78</v>
      </c>
      <c r="N159" s="90"/>
      <c r="O159" s="90"/>
      <c r="P159" s="90">
        <f t="shared" si="12"/>
        <v>11160</v>
      </c>
      <c r="Q159" s="90"/>
      <c r="R159" s="90"/>
      <c r="S159" s="90" t="str">
        <f t="shared" si="13"/>
        <v>NIL</v>
      </c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</row>
    <row r="160" spans="1:32" ht="24.95" customHeight="1" x14ac:dyDescent="0.25">
      <c r="A160" s="89">
        <f t="shared" si="14"/>
        <v>157</v>
      </c>
      <c r="B160" s="98" t="s">
        <v>681</v>
      </c>
      <c r="C160" s="90" t="str">
        <f>'LIST OF LINES'!$B$77</f>
        <v>80-40-SS-DW-32</v>
      </c>
      <c r="D160" s="90" t="s">
        <v>958</v>
      </c>
      <c r="E160" s="90"/>
      <c r="F160" s="90" t="s">
        <v>959</v>
      </c>
      <c r="G160" s="90" t="s">
        <v>702</v>
      </c>
      <c r="H160" s="90" t="s">
        <v>481</v>
      </c>
      <c r="I160" s="90"/>
      <c r="J160" s="90">
        <f t="shared" si="10"/>
        <v>67.970007117963505</v>
      </c>
      <c r="K160" s="90"/>
      <c r="L160" s="90"/>
      <c r="M160" s="90">
        <f t="shared" si="11"/>
        <v>34.909810702383027</v>
      </c>
      <c r="N160" s="90"/>
      <c r="O160" s="90"/>
      <c r="P160" s="90">
        <f t="shared" si="12"/>
        <v>254.83704909924094</v>
      </c>
      <c r="Q160" s="90"/>
      <c r="R160" s="90"/>
      <c r="S160" s="90" t="str">
        <f t="shared" si="13"/>
        <v>NIL</v>
      </c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  <row r="161" spans="1:32" ht="24.95" customHeight="1" x14ac:dyDescent="0.25">
      <c r="A161" s="89">
        <f t="shared" si="14"/>
        <v>158</v>
      </c>
      <c r="B161" s="98" t="s">
        <v>681</v>
      </c>
      <c r="C161" s="90" t="str">
        <f>'LIST OF LINES'!$B$77</f>
        <v>80-40-SS-DW-32</v>
      </c>
      <c r="D161" s="90" t="s">
        <v>960</v>
      </c>
      <c r="E161" s="90"/>
      <c r="F161" s="90" t="s">
        <v>959</v>
      </c>
      <c r="G161" s="90" t="s">
        <v>705</v>
      </c>
      <c r="H161" s="90" t="s">
        <v>481</v>
      </c>
      <c r="I161" s="90"/>
      <c r="J161" s="90">
        <f t="shared" si="10"/>
        <v>67.970007117963505</v>
      </c>
      <c r="K161" s="90"/>
      <c r="L161" s="90"/>
      <c r="M161" s="90">
        <f t="shared" si="11"/>
        <v>34.909810702383027</v>
      </c>
      <c r="N161" s="90"/>
      <c r="O161" s="90"/>
      <c r="P161" s="90">
        <f t="shared" si="12"/>
        <v>254.83704909924094</v>
      </c>
      <c r="Q161" s="90"/>
      <c r="R161" s="90"/>
      <c r="S161" s="90" t="str">
        <f t="shared" si="13"/>
        <v>NIL</v>
      </c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</row>
    <row r="162" spans="1:32" ht="24.95" customHeight="1" x14ac:dyDescent="0.25">
      <c r="A162" s="100">
        <f t="shared" si="14"/>
        <v>159</v>
      </c>
      <c r="B162" s="98" t="s">
        <v>716</v>
      </c>
      <c r="C162" s="99" t="str">
        <f>'LIST OF LINES'!$B$87</f>
        <v>ID1100-THK-SS-ST-09</v>
      </c>
      <c r="D162" s="90" t="s">
        <v>961</v>
      </c>
      <c r="E162" s="90" t="s">
        <v>962</v>
      </c>
      <c r="F162" s="99" t="s">
        <v>963</v>
      </c>
      <c r="G162" s="90" t="s">
        <v>685</v>
      </c>
      <c r="H162" s="90" t="s">
        <v>515</v>
      </c>
      <c r="I162" s="90"/>
      <c r="J162" s="90">
        <f t="shared" si="10"/>
        <v>68</v>
      </c>
      <c r="K162" s="90"/>
      <c r="L162" s="90"/>
      <c r="M162" s="90">
        <f t="shared" si="11"/>
        <v>39</v>
      </c>
      <c r="N162" s="90"/>
      <c r="O162" s="90"/>
      <c r="P162" s="90">
        <f t="shared" si="12"/>
        <v>6624</v>
      </c>
      <c r="Q162" s="90"/>
      <c r="R162" s="90"/>
      <c r="S162" s="90" t="str">
        <f t="shared" si="13"/>
        <v>NIL</v>
      </c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</row>
    <row r="163" spans="1:32" ht="24.95" customHeight="1" x14ac:dyDescent="0.25">
      <c r="A163" s="100">
        <f t="shared" si="14"/>
        <v>160</v>
      </c>
      <c r="B163" s="98" t="s">
        <v>716</v>
      </c>
      <c r="C163" s="99" t="str">
        <f>'LIST OF LINES'!$B$87</f>
        <v>ID1100-THK-SS-ST-09</v>
      </c>
      <c r="D163" s="90" t="s">
        <v>964</v>
      </c>
      <c r="E163" s="90"/>
      <c r="F163" s="99" t="s">
        <v>963</v>
      </c>
      <c r="G163" s="90" t="s">
        <v>702</v>
      </c>
      <c r="H163" s="90" t="s">
        <v>515</v>
      </c>
      <c r="I163" s="90"/>
      <c r="J163" s="90">
        <f t="shared" si="10"/>
        <v>68</v>
      </c>
      <c r="K163" s="90"/>
      <c r="L163" s="90"/>
      <c r="M163" s="90">
        <f t="shared" si="11"/>
        <v>39</v>
      </c>
      <c r="N163" s="90"/>
      <c r="O163" s="90"/>
      <c r="P163" s="90">
        <f t="shared" si="12"/>
        <v>6624</v>
      </c>
      <c r="Q163" s="90"/>
      <c r="R163" s="90"/>
      <c r="S163" s="90" t="str">
        <f t="shared" si="13"/>
        <v>NIL</v>
      </c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</row>
    <row r="164" spans="1:32" ht="24.95" customHeight="1" x14ac:dyDescent="0.25">
      <c r="A164" s="100">
        <f t="shared" si="14"/>
        <v>161</v>
      </c>
      <c r="B164" s="98" t="s">
        <v>716</v>
      </c>
      <c r="C164" s="99" t="str">
        <f>'LIST OF LINES'!$B$87</f>
        <v>ID1100-THK-SS-ST-09</v>
      </c>
      <c r="D164" s="90" t="s">
        <v>965</v>
      </c>
      <c r="E164" s="90"/>
      <c r="F164" s="99" t="s">
        <v>963</v>
      </c>
      <c r="G164" s="90" t="s">
        <v>705</v>
      </c>
      <c r="H164" s="90" t="s">
        <v>515</v>
      </c>
      <c r="I164" s="90"/>
      <c r="J164" s="90">
        <f t="shared" si="10"/>
        <v>68</v>
      </c>
      <c r="K164" s="90"/>
      <c r="L164" s="90"/>
      <c r="M164" s="90">
        <f t="shared" si="11"/>
        <v>39</v>
      </c>
      <c r="N164" s="90"/>
      <c r="O164" s="90"/>
      <c r="P164" s="90">
        <f t="shared" si="12"/>
        <v>6624</v>
      </c>
      <c r="Q164" s="90"/>
      <c r="R164" s="90"/>
      <c r="S164" s="90" t="str">
        <f t="shared" si="13"/>
        <v>NIL</v>
      </c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</row>
    <row r="165" spans="1:32" ht="24.95" customHeight="1" x14ac:dyDescent="0.25">
      <c r="A165" s="100">
        <f t="shared" si="14"/>
        <v>162</v>
      </c>
      <c r="B165" s="98" t="s">
        <v>716</v>
      </c>
      <c r="C165" s="99" t="str">
        <f>'LIST OF LINES'!$B$88</f>
        <v>XXX-40-SS-ST-10</v>
      </c>
      <c r="D165" s="90" t="s">
        <v>966</v>
      </c>
      <c r="E165" s="90" t="s">
        <v>967</v>
      </c>
      <c r="F165" s="99" t="s">
        <v>968</v>
      </c>
      <c r="G165" s="90" t="s">
        <v>685</v>
      </c>
      <c r="H165" s="90" t="s">
        <v>515</v>
      </c>
      <c r="I165" s="90"/>
      <c r="J165" s="90">
        <f t="shared" si="10"/>
        <v>0</v>
      </c>
      <c r="K165" s="90"/>
      <c r="L165" s="90"/>
      <c r="M165" s="90">
        <f t="shared" si="11"/>
        <v>0</v>
      </c>
      <c r="N165" s="90"/>
      <c r="O165" s="90"/>
      <c r="P165" s="90">
        <f t="shared" si="12"/>
        <v>0</v>
      </c>
      <c r="Q165" s="90"/>
      <c r="R165" s="90"/>
      <c r="S165" s="90">
        <f t="shared" si="13"/>
        <v>0</v>
      </c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</row>
    <row r="166" spans="1:32" ht="24.95" customHeight="1" x14ac:dyDescent="0.25">
      <c r="A166" s="100">
        <f t="shared" si="14"/>
        <v>163</v>
      </c>
      <c r="B166" s="98" t="s">
        <v>716</v>
      </c>
      <c r="C166" s="99" t="str">
        <f>'LIST OF LINES'!$B$88</f>
        <v>XXX-40-SS-ST-10</v>
      </c>
      <c r="D166" s="90" t="s">
        <v>969</v>
      </c>
      <c r="E166" s="90"/>
      <c r="F166" s="99" t="s">
        <v>968</v>
      </c>
      <c r="G166" s="90" t="s">
        <v>702</v>
      </c>
      <c r="H166" s="90" t="s">
        <v>515</v>
      </c>
      <c r="I166" s="90"/>
      <c r="J166" s="90">
        <f t="shared" si="10"/>
        <v>0</v>
      </c>
      <c r="K166" s="90"/>
      <c r="L166" s="90"/>
      <c r="M166" s="90">
        <f t="shared" si="11"/>
        <v>0</v>
      </c>
      <c r="N166" s="90"/>
      <c r="O166" s="90"/>
      <c r="P166" s="90">
        <f t="shared" si="12"/>
        <v>0</v>
      </c>
      <c r="Q166" s="90"/>
      <c r="R166" s="90"/>
      <c r="S166" s="90">
        <f t="shared" si="13"/>
        <v>0</v>
      </c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</row>
    <row r="167" spans="1:32" ht="24.95" customHeight="1" x14ac:dyDescent="0.25">
      <c r="A167" s="100">
        <f t="shared" si="14"/>
        <v>164</v>
      </c>
      <c r="B167" s="98" t="s">
        <v>716</v>
      </c>
      <c r="C167" s="99" t="str">
        <f>'LIST OF LINES'!$B$88</f>
        <v>XXX-40-SS-ST-10</v>
      </c>
      <c r="D167" s="90" t="s">
        <v>970</v>
      </c>
      <c r="E167" s="90"/>
      <c r="F167" s="99" t="s">
        <v>968</v>
      </c>
      <c r="G167" s="90" t="s">
        <v>705</v>
      </c>
      <c r="H167" s="90" t="s">
        <v>515</v>
      </c>
      <c r="I167" s="90"/>
      <c r="J167" s="90">
        <f t="shared" si="10"/>
        <v>0</v>
      </c>
      <c r="K167" s="90"/>
      <c r="L167" s="90"/>
      <c r="M167" s="90">
        <f t="shared" si="11"/>
        <v>0</v>
      </c>
      <c r="N167" s="90"/>
      <c r="O167" s="90"/>
      <c r="P167" s="90">
        <f t="shared" si="12"/>
        <v>0</v>
      </c>
      <c r="Q167" s="90"/>
      <c r="R167" s="90"/>
      <c r="S167" s="90">
        <f t="shared" si="13"/>
        <v>0</v>
      </c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</row>
    <row r="168" spans="1:32" ht="24.95" customHeight="1" x14ac:dyDescent="0.25">
      <c r="A168" s="100">
        <f t="shared" si="14"/>
        <v>165</v>
      </c>
      <c r="B168" s="98" t="s">
        <v>716</v>
      </c>
      <c r="C168" s="99" t="str">
        <f>'LIST OF LINES'!$B$89</f>
        <v>XXX-40-SS-ST-11</v>
      </c>
      <c r="D168" s="90" t="s">
        <v>971</v>
      </c>
      <c r="E168" s="90" t="s">
        <v>972</v>
      </c>
      <c r="F168" s="99" t="s">
        <v>973</v>
      </c>
      <c r="G168" s="90" t="s">
        <v>685</v>
      </c>
      <c r="H168" s="90" t="s">
        <v>515</v>
      </c>
      <c r="I168" s="90"/>
      <c r="J168" s="90">
        <f t="shared" si="10"/>
        <v>0</v>
      </c>
      <c r="K168" s="90"/>
      <c r="L168" s="90"/>
      <c r="M168" s="90">
        <f t="shared" si="11"/>
        <v>0</v>
      </c>
      <c r="N168" s="90"/>
      <c r="O168" s="90"/>
      <c r="P168" s="90">
        <f t="shared" si="12"/>
        <v>0</v>
      </c>
      <c r="Q168" s="90"/>
      <c r="R168" s="90"/>
      <c r="S168" s="90">
        <f t="shared" si="13"/>
        <v>0</v>
      </c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</row>
    <row r="169" spans="1:32" ht="24.95" customHeight="1" x14ac:dyDescent="0.25">
      <c r="A169" s="100">
        <f t="shared" si="14"/>
        <v>166</v>
      </c>
      <c r="B169" s="98" t="s">
        <v>716</v>
      </c>
      <c r="C169" s="99" t="str">
        <f>'LIST OF LINES'!$B$89</f>
        <v>XXX-40-SS-ST-11</v>
      </c>
      <c r="D169" s="90" t="s">
        <v>974</v>
      </c>
      <c r="E169" s="90"/>
      <c r="F169" s="99" t="s">
        <v>973</v>
      </c>
      <c r="G169" s="90" t="s">
        <v>702</v>
      </c>
      <c r="H169" s="90" t="s">
        <v>515</v>
      </c>
      <c r="I169" s="90"/>
      <c r="J169" s="90">
        <f t="shared" si="10"/>
        <v>0</v>
      </c>
      <c r="K169" s="90"/>
      <c r="L169" s="90"/>
      <c r="M169" s="90">
        <f t="shared" si="11"/>
        <v>0</v>
      </c>
      <c r="N169" s="90"/>
      <c r="O169" s="90"/>
      <c r="P169" s="90">
        <f t="shared" si="12"/>
        <v>0</v>
      </c>
      <c r="Q169" s="90"/>
      <c r="R169" s="90"/>
      <c r="S169" s="90">
        <f t="shared" si="13"/>
        <v>0</v>
      </c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</row>
    <row r="170" spans="1:32" ht="24.95" customHeight="1" x14ac:dyDescent="0.25">
      <c r="A170" s="100">
        <f t="shared" si="14"/>
        <v>167</v>
      </c>
      <c r="B170" s="98" t="s">
        <v>716</v>
      </c>
      <c r="C170" s="99" t="str">
        <f>'LIST OF LINES'!$B$89</f>
        <v>XXX-40-SS-ST-11</v>
      </c>
      <c r="D170" s="90" t="s">
        <v>975</v>
      </c>
      <c r="E170" s="90"/>
      <c r="F170" s="99" t="s">
        <v>973</v>
      </c>
      <c r="G170" s="90" t="s">
        <v>705</v>
      </c>
      <c r="H170" s="90" t="s">
        <v>515</v>
      </c>
      <c r="I170" s="90"/>
      <c r="J170" s="90">
        <f t="shared" si="10"/>
        <v>0</v>
      </c>
      <c r="K170" s="90"/>
      <c r="L170" s="90"/>
      <c r="M170" s="90">
        <f t="shared" si="11"/>
        <v>0</v>
      </c>
      <c r="N170" s="90"/>
      <c r="O170" s="90"/>
      <c r="P170" s="90">
        <f t="shared" si="12"/>
        <v>0</v>
      </c>
      <c r="Q170" s="90"/>
      <c r="R170" s="90"/>
      <c r="S170" s="90">
        <f t="shared" si="13"/>
        <v>0</v>
      </c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</row>
    <row r="171" spans="1:32" ht="24.95" customHeight="1" x14ac:dyDescent="0.25">
      <c r="A171" s="100">
        <f t="shared" si="14"/>
        <v>168</v>
      </c>
      <c r="B171" s="98" t="s">
        <v>716</v>
      </c>
      <c r="C171" s="99" t="str">
        <f>'LIST OF LINES'!$B$90</f>
        <v>XXX-40-SS-ST-12</v>
      </c>
      <c r="D171" s="90" t="s">
        <v>976</v>
      </c>
      <c r="E171" s="90" t="s">
        <v>977</v>
      </c>
      <c r="F171" s="99" t="s">
        <v>978</v>
      </c>
      <c r="G171" s="90" t="s">
        <v>685</v>
      </c>
      <c r="H171" s="90" t="s">
        <v>515</v>
      </c>
      <c r="I171" s="90"/>
      <c r="J171" s="90">
        <f t="shared" si="10"/>
        <v>0</v>
      </c>
      <c r="K171" s="90"/>
      <c r="L171" s="90"/>
      <c r="M171" s="90">
        <f t="shared" si="11"/>
        <v>0</v>
      </c>
      <c r="N171" s="90"/>
      <c r="O171" s="90"/>
      <c r="P171" s="90">
        <f t="shared" si="12"/>
        <v>0</v>
      </c>
      <c r="Q171" s="90"/>
      <c r="R171" s="90"/>
      <c r="S171" s="90">
        <f t="shared" si="13"/>
        <v>0</v>
      </c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</row>
    <row r="172" spans="1:32" ht="24.95" customHeight="1" x14ac:dyDescent="0.25">
      <c r="A172" s="100">
        <f t="shared" si="14"/>
        <v>169</v>
      </c>
      <c r="B172" s="98" t="s">
        <v>716</v>
      </c>
      <c r="C172" s="99" t="str">
        <f>'LIST OF LINES'!$B$90</f>
        <v>XXX-40-SS-ST-12</v>
      </c>
      <c r="D172" s="90" t="s">
        <v>979</v>
      </c>
      <c r="E172" s="90"/>
      <c r="F172" s="99" t="s">
        <v>978</v>
      </c>
      <c r="G172" s="90" t="s">
        <v>702</v>
      </c>
      <c r="H172" s="90" t="s">
        <v>515</v>
      </c>
      <c r="I172" s="90"/>
      <c r="J172" s="90">
        <f t="shared" si="10"/>
        <v>0</v>
      </c>
      <c r="K172" s="90"/>
      <c r="L172" s="90"/>
      <c r="M172" s="90">
        <f t="shared" si="11"/>
        <v>0</v>
      </c>
      <c r="N172" s="90"/>
      <c r="O172" s="90"/>
      <c r="P172" s="90">
        <f t="shared" si="12"/>
        <v>0</v>
      </c>
      <c r="Q172" s="90"/>
      <c r="R172" s="90"/>
      <c r="S172" s="90">
        <f t="shared" si="13"/>
        <v>0</v>
      </c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</row>
    <row r="173" spans="1:32" ht="24.95" customHeight="1" x14ac:dyDescent="0.25">
      <c r="A173" s="100">
        <f t="shared" si="14"/>
        <v>170</v>
      </c>
      <c r="B173" s="98" t="s">
        <v>716</v>
      </c>
      <c r="C173" s="99" t="str">
        <f>'LIST OF LINES'!$B$90</f>
        <v>XXX-40-SS-ST-12</v>
      </c>
      <c r="D173" s="90" t="s">
        <v>980</v>
      </c>
      <c r="E173" s="90"/>
      <c r="F173" s="99" t="s">
        <v>978</v>
      </c>
      <c r="G173" s="90" t="s">
        <v>705</v>
      </c>
      <c r="H173" s="90" t="s">
        <v>515</v>
      </c>
      <c r="I173" s="90"/>
      <c r="J173" s="90">
        <f t="shared" si="10"/>
        <v>0</v>
      </c>
      <c r="K173" s="90"/>
      <c r="L173" s="90"/>
      <c r="M173" s="90">
        <f t="shared" si="11"/>
        <v>0</v>
      </c>
      <c r="N173" s="90"/>
      <c r="O173" s="90"/>
      <c r="P173" s="90">
        <f t="shared" si="12"/>
        <v>0</v>
      </c>
      <c r="Q173" s="90"/>
      <c r="R173" s="90"/>
      <c r="S173" s="90">
        <f t="shared" si="13"/>
        <v>0</v>
      </c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</row>
    <row r="174" spans="1:32" ht="24.95" customHeight="1" x14ac:dyDescent="0.25">
      <c r="A174" s="100">
        <f t="shared" si="14"/>
        <v>171</v>
      </c>
      <c r="B174" s="98" t="s">
        <v>716</v>
      </c>
      <c r="C174" s="90" t="str">
        <f>LIST_OF_EQUIPMENT!$B$5</f>
        <v>MED - E1</v>
      </c>
      <c r="D174" s="90" t="s">
        <v>981</v>
      </c>
      <c r="E174" s="90" t="s">
        <v>982</v>
      </c>
      <c r="F174" s="90" t="s">
        <v>983</v>
      </c>
      <c r="G174" s="90" t="s">
        <v>685</v>
      </c>
      <c r="H174" s="90" t="s">
        <v>515</v>
      </c>
      <c r="I174" s="90"/>
      <c r="J174" s="90">
        <f t="shared" si="10"/>
        <v>320.45999999999998</v>
      </c>
      <c r="K174" s="90"/>
      <c r="L174" s="90"/>
      <c r="M174" s="90">
        <f t="shared" si="11"/>
        <v>70.599999999999994</v>
      </c>
      <c r="N174" s="90"/>
      <c r="O174" s="90"/>
      <c r="P174" s="90" t="str">
        <f t="shared" si="12"/>
        <v/>
      </c>
      <c r="Q174" s="90"/>
      <c r="R174" s="90"/>
      <c r="S174" s="90" t="str">
        <f t="shared" si="13"/>
        <v/>
      </c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</row>
    <row r="175" spans="1:32" ht="24.95" customHeight="1" x14ac:dyDescent="0.25">
      <c r="A175" s="100">
        <f t="shared" si="14"/>
        <v>172</v>
      </c>
      <c r="B175" s="98" t="s">
        <v>716</v>
      </c>
      <c r="C175" s="90" t="str">
        <f>LIST_OF_EQUIPMENT!$B$5</f>
        <v>MED - E1</v>
      </c>
      <c r="D175" s="90" t="s">
        <v>984</v>
      </c>
      <c r="E175" s="90"/>
      <c r="F175" s="90" t="s">
        <v>983</v>
      </c>
      <c r="G175" s="90" t="s">
        <v>702</v>
      </c>
      <c r="H175" s="90" t="s">
        <v>515</v>
      </c>
      <c r="I175" s="90"/>
      <c r="J175" s="90">
        <f t="shared" si="10"/>
        <v>320.45999999999998</v>
      </c>
      <c r="K175" s="90"/>
      <c r="L175" s="90"/>
      <c r="M175" s="90">
        <f t="shared" si="11"/>
        <v>70.599999999999994</v>
      </c>
      <c r="N175" s="90"/>
      <c r="O175" s="90"/>
      <c r="P175" s="90" t="str">
        <f t="shared" si="12"/>
        <v/>
      </c>
      <c r="Q175" s="90"/>
      <c r="R175" s="90"/>
      <c r="S175" s="90" t="str">
        <f t="shared" si="13"/>
        <v/>
      </c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</row>
    <row r="176" spans="1:32" ht="24.95" customHeight="1" x14ac:dyDescent="0.25">
      <c r="A176" s="100">
        <f t="shared" si="14"/>
        <v>173</v>
      </c>
      <c r="B176" s="98" t="s">
        <v>716</v>
      </c>
      <c r="C176" s="90" t="str">
        <f>LIST_OF_EQUIPMENT!$B$5</f>
        <v>MED - E1</v>
      </c>
      <c r="D176" s="90" t="s">
        <v>985</v>
      </c>
      <c r="E176" s="90"/>
      <c r="F176" s="90" t="s">
        <v>983</v>
      </c>
      <c r="G176" s="90" t="s">
        <v>705</v>
      </c>
      <c r="H176" s="90" t="s">
        <v>515</v>
      </c>
      <c r="I176" s="90"/>
      <c r="J176" s="90">
        <f t="shared" si="10"/>
        <v>320.45999999999998</v>
      </c>
      <c r="K176" s="90"/>
      <c r="L176" s="90"/>
      <c r="M176" s="90">
        <f t="shared" si="11"/>
        <v>70.599999999999994</v>
      </c>
      <c r="N176" s="90"/>
      <c r="O176" s="90"/>
      <c r="P176" s="90" t="str">
        <f t="shared" si="12"/>
        <v/>
      </c>
      <c r="Q176" s="90"/>
      <c r="R176" s="90"/>
      <c r="S176" s="90" t="str">
        <f t="shared" si="13"/>
        <v/>
      </c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</row>
    <row r="177" spans="1:32" ht="24.95" customHeight="1" x14ac:dyDescent="0.25">
      <c r="A177" s="100">
        <f t="shared" si="14"/>
        <v>174</v>
      </c>
      <c r="B177" s="98" t="s">
        <v>716</v>
      </c>
      <c r="C177" s="90" t="str">
        <f>LIST_OF_EQUIPMENT!$B$5</f>
        <v>MED - E1</v>
      </c>
      <c r="D177" s="90" t="s">
        <v>986</v>
      </c>
      <c r="E177" s="90" t="s">
        <v>987</v>
      </c>
      <c r="F177" s="90" t="s">
        <v>988</v>
      </c>
      <c r="G177" s="90" t="s">
        <v>685</v>
      </c>
      <c r="H177" s="90" t="s">
        <v>515</v>
      </c>
      <c r="I177" s="90"/>
      <c r="J177" s="90">
        <f t="shared" si="10"/>
        <v>320.45999999999998</v>
      </c>
      <c r="K177" s="90"/>
      <c r="L177" s="90"/>
      <c r="M177" s="90">
        <f t="shared" si="11"/>
        <v>70.599999999999994</v>
      </c>
      <c r="N177" s="90"/>
      <c r="O177" s="90"/>
      <c r="P177" s="90" t="str">
        <f t="shared" si="12"/>
        <v/>
      </c>
      <c r="Q177" s="90"/>
      <c r="R177" s="90"/>
      <c r="S177" s="90" t="str">
        <f t="shared" si="13"/>
        <v/>
      </c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</row>
    <row r="178" spans="1:32" ht="24.95" customHeight="1" x14ac:dyDescent="0.25">
      <c r="A178" s="100">
        <f t="shared" si="14"/>
        <v>175</v>
      </c>
      <c r="B178" s="98" t="s">
        <v>716</v>
      </c>
      <c r="C178" s="90" t="str">
        <f>LIST_OF_EQUIPMENT!$B$5</f>
        <v>MED - E1</v>
      </c>
      <c r="D178" s="90" t="s">
        <v>989</v>
      </c>
      <c r="E178" s="90"/>
      <c r="F178" s="90" t="s">
        <v>988</v>
      </c>
      <c r="G178" s="90" t="s">
        <v>702</v>
      </c>
      <c r="H178" s="90" t="s">
        <v>515</v>
      </c>
      <c r="I178" s="90"/>
      <c r="J178" s="90">
        <f t="shared" si="10"/>
        <v>320.45999999999998</v>
      </c>
      <c r="K178" s="90"/>
      <c r="L178" s="90"/>
      <c r="M178" s="90">
        <f t="shared" si="11"/>
        <v>70.599999999999994</v>
      </c>
      <c r="N178" s="90"/>
      <c r="O178" s="90"/>
      <c r="P178" s="90" t="str">
        <f t="shared" si="12"/>
        <v/>
      </c>
      <c r="Q178" s="90"/>
      <c r="R178" s="90"/>
      <c r="S178" s="90" t="str">
        <f t="shared" si="13"/>
        <v/>
      </c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</row>
    <row r="179" spans="1:32" ht="24.95" customHeight="1" x14ac:dyDescent="0.25">
      <c r="A179" s="100">
        <f t="shared" si="14"/>
        <v>176</v>
      </c>
      <c r="B179" s="98" t="s">
        <v>716</v>
      </c>
      <c r="C179" s="90" t="str">
        <f>LIST_OF_EQUIPMENT!$B$5</f>
        <v>MED - E1</v>
      </c>
      <c r="D179" s="90" t="s">
        <v>990</v>
      </c>
      <c r="E179" s="90"/>
      <c r="F179" s="90" t="s">
        <v>988</v>
      </c>
      <c r="G179" s="90" t="s">
        <v>705</v>
      </c>
      <c r="H179" s="90" t="s">
        <v>515</v>
      </c>
      <c r="I179" s="90"/>
      <c r="J179" s="90">
        <f t="shared" si="10"/>
        <v>320.45999999999998</v>
      </c>
      <c r="K179" s="90"/>
      <c r="L179" s="90"/>
      <c r="M179" s="90">
        <f t="shared" si="11"/>
        <v>70.599999999999994</v>
      </c>
      <c r="N179" s="90"/>
      <c r="O179" s="90"/>
      <c r="P179" s="90" t="str">
        <f t="shared" si="12"/>
        <v/>
      </c>
      <c r="Q179" s="90"/>
      <c r="R179" s="90"/>
      <c r="S179" s="90" t="str">
        <f t="shared" si="13"/>
        <v/>
      </c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</row>
    <row r="180" spans="1:32" ht="24.95" customHeight="1" x14ac:dyDescent="0.25">
      <c r="A180" s="100">
        <f t="shared" si="14"/>
        <v>177</v>
      </c>
      <c r="B180" s="98" t="s">
        <v>716</v>
      </c>
      <c r="C180" s="90" t="str">
        <f>LIST_OF_EQUIPMENT!$B$6</f>
        <v>MED - E2</v>
      </c>
      <c r="D180" s="90" t="s">
        <v>991</v>
      </c>
      <c r="E180" s="90"/>
      <c r="F180" s="90" t="s">
        <v>992</v>
      </c>
      <c r="G180" s="90" t="s">
        <v>993</v>
      </c>
      <c r="H180" s="90" t="s">
        <v>515</v>
      </c>
      <c r="I180" s="90"/>
      <c r="J180" s="90">
        <f t="shared" si="10"/>
        <v>259.39999999999998</v>
      </c>
      <c r="K180" s="90"/>
      <c r="L180" s="90"/>
      <c r="M180" s="90">
        <f t="shared" si="11"/>
        <v>66.55</v>
      </c>
      <c r="N180" s="90"/>
      <c r="O180" s="90"/>
      <c r="P180" s="90" t="str">
        <f t="shared" si="12"/>
        <v/>
      </c>
      <c r="Q180" s="90"/>
      <c r="R180" s="90"/>
      <c r="S180" s="90" t="str">
        <f t="shared" si="13"/>
        <v/>
      </c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</row>
    <row r="181" spans="1:32" ht="24.95" customHeight="1" x14ac:dyDescent="0.25">
      <c r="A181" s="100">
        <f t="shared" si="14"/>
        <v>178</v>
      </c>
      <c r="B181" s="98" t="s">
        <v>716</v>
      </c>
      <c r="C181" s="90" t="str">
        <f>LIST_OF_EQUIPMENT!$B$6</f>
        <v>MED - E2</v>
      </c>
      <c r="D181" s="90" t="s">
        <v>994</v>
      </c>
      <c r="E181" s="90" t="s">
        <v>995</v>
      </c>
      <c r="F181" s="90" t="s">
        <v>996</v>
      </c>
      <c r="G181" s="90" t="s">
        <v>685</v>
      </c>
      <c r="H181" s="90" t="s">
        <v>515</v>
      </c>
      <c r="I181" s="90"/>
      <c r="J181" s="90">
        <f t="shared" si="10"/>
        <v>259.39999999999998</v>
      </c>
      <c r="K181" s="90"/>
      <c r="L181" s="90"/>
      <c r="M181" s="90">
        <f t="shared" si="11"/>
        <v>66.55</v>
      </c>
      <c r="N181" s="90"/>
      <c r="O181" s="90"/>
      <c r="P181" s="90" t="str">
        <f t="shared" si="12"/>
        <v/>
      </c>
      <c r="Q181" s="90"/>
      <c r="R181" s="90"/>
      <c r="S181" s="90" t="str">
        <f t="shared" si="13"/>
        <v/>
      </c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</row>
    <row r="182" spans="1:32" ht="24.95" customHeight="1" x14ac:dyDescent="0.25">
      <c r="A182" s="100">
        <f t="shared" si="14"/>
        <v>179</v>
      </c>
      <c r="B182" s="98" t="s">
        <v>716</v>
      </c>
      <c r="C182" s="90" t="str">
        <f>LIST_OF_EQUIPMENT!$B$6</f>
        <v>MED - E2</v>
      </c>
      <c r="D182" s="90" t="s">
        <v>997</v>
      </c>
      <c r="E182" s="90"/>
      <c r="F182" s="90" t="s">
        <v>996</v>
      </c>
      <c r="G182" s="90" t="s">
        <v>702</v>
      </c>
      <c r="H182" s="90" t="s">
        <v>515</v>
      </c>
      <c r="I182" s="90"/>
      <c r="J182" s="90">
        <f t="shared" si="10"/>
        <v>259.39999999999998</v>
      </c>
      <c r="K182" s="90"/>
      <c r="L182" s="90"/>
      <c r="M182" s="90">
        <f t="shared" si="11"/>
        <v>66.55</v>
      </c>
      <c r="N182" s="90"/>
      <c r="O182" s="90"/>
      <c r="P182" s="90" t="str">
        <f t="shared" si="12"/>
        <v/>
      </c>
      <c r="Q182" s="90"/>
      <c r="R182" s="90"/>
      <c r="S182" s="90" t="str">
        <f t="shared" si="13"/>
        <v/>
      </c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</row>
    <row r="183" spans="1:32" ht="24.95" customHeight="1" x14ac:dyDescent="0.25">
      <c r="A183" s="100">
        <f t="shared" si="14"/>
        <v>180</v>
      </c>
      <c r="B183" s="98" t="s">
        <v>716</v>
      </c>
      <c r="C183" s="90" t="str">
        <f>LIST_OF_EQUIPMENT!$B$6</f>
        <v>MED - E2</v>
      </c>
      <c r="D183" s="90" t="s">
        <v>998</v>
      </c>
      <c r="E183" s="90"/>
      <c r="F183" s="90" t="s">
        <v>996</v>
      </c>
      <c r="G183" s="90" t="s">
        <v>705</v>
      </c>
      <c r="H183" s="90" t="s">
        <v>515</v>
      </c>
      <c r="I183" s="90"/>
      <c r="J183" s="90">
        <f t="shared" si="10"/>
        <v>259.39999999999998</v>
      </c>
      <c r="K183" s="90"/>
      <c r="L183" s="90"/>
      <c r="M183" s="90">
        <f t="shared" si="11"/>
        <v>66.55</v>
      </c>
      <c r="N183" s="90"/>
      <c r="O183" s="90"/>
      <c r="P183" s="90" t="str">
        <f t="shared" si="12"/>
        <v/>
      </c>
      <c r="Q183" s="90"/>
      <c r="R183" s="90"/>
      <c r="S183" s="90" t="str">
        <f t="shared" si="13"/>
        <v/>
      </c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</row>
    <row r="184" spans="1:32" ht="24.95" customHeight="1" x14ac:dyDescent="0.25">
      <c r="A184" s="100">
        <f t="shared" si="14"/>
        <v>181</v>
      </c>
      <c r="B184" s="98" t="s">
        <v>716</v>
      </c>
      <c r="C184" s="90" t="str">
        <f>LIST_OF_EQUIPMENT!$B$7</f>
        <v>MED - E3</v>
      </c>
      <c r="D184" s="90" t="s">
        <v>999</v>
      </c>
      <c r="E184" s="90"/>
      <c r="F184" s="90" t="s">
        <v>1000</v>
      </c>
      <c r="G184" s="90" t="s">
        <v>993</v>
      </c>
      <c r="H184" s="90" t="s">
        <v>515</v>
      </c>
      <c r="I184" s="90"/>
      <c r="J184" s="90">
        <f t="shared" si="10"/>
        <v>219.6</v>
      </c>
      <c r="K184" s="90"/>
      <c r="L184" s="90"/>
      <c r="M184" s="90">
        <f t="shared" si="11"/>
        <v>62.81</v>
      </c>
      <c r="N184" s="90"/>
      <c r="O184" s="90"/>
      <c r="P184" s="90" t="str">
        <f t="shared" si="12"/>
        <v/>
      </c>
      <c r="Q184" s="90"/>
      <c r="R184" s="90"/>
      <c r="S184" s="90" t="str">
        <f t="shared" si="13"/>
        <v/>
      </c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</row>
    <row r="185" spans="1:32" ht="24.95" customHeight="1" x14ac:dyDescent="0.25">
      <c r="A185" s="100">
        <f t="shared" si="14"/>
        <v>182</v>
      </c>
      <c r="B185" s="98" t="s">
        <v>716</v>
      </c>
      <c r="C185" s="90" t="str">
        <f>LIST_OF_EQUIPMENT!$B$7</f>
        <v>MED - E3</v>
      </c>
      <c r="D185" s="90" t="s">
        <v>1001</v>
      </c>
      <c r="E185" s="90" t="s">
        <v>1002</v>
      </c>
      <c r="F185" s="90" t="s">
        <v>1003</v>
      </c>
      <c r="G185" s="90" t="s">
        <v>685</v>
      </c>
      <c r="H185" s="90" t="s">
        <v>515</v>
      </c>
      <c r="I185" s="90"/>
      <c r="J185" s="90">
        <f t="shared" si="10"/>
        <v>219.6</v>
      </c>
      <c r="K185" s="90"/>
      <c r="L185" s="90"/>
      <c r="M185" s="90">
        <f t="shared" si="11"/>
        <v>62.81</v>
      </c>
      <c r="N185" s="90"/>
      <c r="O185" s="90"/>
      <c r="P185" s="90" t="str">
        <f t="shared" si="12"/>
        <v/>
      </c>
      <c r="Q185" s="90"/>
      <c r="R185" s="90"/>
      <c r="S185" s="90" t="str">
        <f t="shared" si="13"/>
        <v/>
      </c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</row>
    <row r="186" spans="1:32" ht="24.95" customHeight="1" x14ac:dyDescent="0.25">
      <c r="A186" s="100">
        <f t="shared" si="14"/>
        <v>183</v>
      </c>
      <c r="B186" s="98" t="s">
        <v>716</v>
      </c>
      <c r="C186" s="90" t="str">
        <f>LIST_OF_EQUIPMENT!$B$7</f>
        <v>MED - E3</v>
      </c>
      <c r="D186" s="90" t="s">
        <v>1004</v>
      </c>
      <c r="E186" s="90"/>
      <c r="F186" s="90" t="s">
        <v>1003</v>
      </c>
      <c r="G186" s="90" t="s">
        <v>702</v>
      </c>
      <c r="H186" s="90" t="s">
        <v>515</v>
      </c>
      <c r="I186" s="90"/>
      <c r="J186" s="90">
        <f t="shared" si="10"/>
        <v>219.6</v>
      </c>
      <c r="K186" s="90"/>
      <c r="L186" s="90"/>
      <c r="M186" s="90">
        <f t="shared" si="11"/>
        <v>62.81</v>
      </c>
      <c r="N186" s="90"/>
      <c r="O186" s="90"/>
      <c r="P186" s="90" t="str">
        <f t="shared" si="12"/>
        <v/>
      </c>
      <c r="Q186" s="90"/>
      <c r="R186" s="90"/>
      <c r="S186" s="90" t="str">
        <f t="shared" si="13"/>
        <v/>
      </c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</row>
    <row r="187" spans="1:32" ht="24.95" customHeight="1" x14ac:dyDescent="0.25">
      <c r="A187" s="100">
        <f t="shared" si="14"/>
        <v>184</v>
      </c>
      <c r="B187" s="98" t="s">
        <v>716</v>
      </c>
      <c r="C187" s="90" t="str">
        <f>LIST_OF_EQUIPMENT!$B$7</f>
        <v>MED - E3</v>
      </c>
      <c r="D187" s="90" t="s">
        <v>1005</v>
      </c>
      <c r="E187" s="90"/>
      <c r="F187" s="90" t="s">
        <v>1003</v>
      </c>
      <c r="G187" s="90" t="s">
        <v>705</v>
      </c>
      <c r="H187" s="90" t="s">
        <v>515</v>
      </c>
      <c r="I187" s="90"/>
      <c r="J187" s="90">
        <f t="shared" si="10"/>
        <v>219.6</v>
      </c>
      <c r="K187" s="90"/>
      <c r="L187" s="90"/>
      <c r="M187" s="90">
        <f t="shared" si="11"/>
        <v>62.81</v>
      </c>
      <c r="N187" s="90"/>
      <c r="O187" s="90"/>
      <c r="P187" s="90" t="str">
        <f t="shared" si="12"/>
        <v/>
      </c>
      <c r="Q187" s="90"/>
      <c r="R187" s="90"/>
      <c r="S187" s="90" t="str">
        <f t="shared" si="13"/>
        <v/>
      </c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</row>
    <row r="188" spans="1:32" ht="24.95" customHeight="1" x14ac:dyDescent="0.25">
      <c r="A188" s="100">
        <f t="shared" si="14"/>
        <v>185</v>
      </c>
      <c r="B188" s="98" t="s">
        <v>716</v>
      </c>
      <c r="C188" s="90" t="str">
        <f>LIST_OF_EQUIPMENT!$B$8</f>
        <v>MED - E4</v>
      </c>
      <c r="D188" s="90" t="s">
        <v>1006</v>
      </c>
      <c r="E188" s="90"/>
      <c r="F188" s="90" t="s">
        <v>1007</v>
      </c>
      <c r="G188" s="90" t="s">
        <v>993</v>
      </c>
      <c r="H188" s="90" t="s">
        <v>515</v>
      </c>
      <c r="I188" s="90"/>
      <c r="J188" s="90">
        <f t="shared" si="10"/>
        <v>188</v>
      </c>
      <c r="K188" s="90"/>
      <c r="L188" s="90"/>
      <c r="M188" s="90">
        <f t="shared" si="11"/>
        <v>59.4</v>
      </c>
      <c r="N188" s="90"/>
      <c r="O188" s="90"/>
      <c r="P188" s="90" t="str">
        <f t="shared" si="12"/>
        <v/>
      </c>
      <c r="Q188" s="90"/>
      <c r="R188" s="90"/>
      <c r="S188" s="90" t="str">
        <f t="shared" si="13"/>
        <v/>
      </c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</row>
    <row r="189" spans="1:32" ht="24.95" customHeight="1" x14ac:dyDescent="0.25">
      <c r="A189" s="100">
        <f t="shared" si="14"/>
        <v>186</v>
      </c>
      <c r="B189" s="98" t="s">
        <v>716</v>
      </c>
      <c r="C189" s="90" t="str">
        <f>LIST_OF_EQUIPMENT!$B$8</f>
        <v>MED - E4</v>
      </c>
      <c r="D189" s="90" t="s">
        <v>1008</v>
      </c>
      <c r="E189" s="90" t="s">
        <v>1009</v>
      </c>
      <c r="F189" s="90" t="s">
        <v>1010</v>
      </c>
      <c r="G189" s="90" t="s">
        <v>685</v>
      </c>
      <c r="H189" s="90" t="s">
        <v>515</v>
      </c>
      <c r="I189" s="90"/>
      <c r="J189" s="90">
        <f t="shared" si="10"/>
        <v>188</v>
      </c>
      <c r="K189" s="90"/>
      <c r="L189" s="90"/>
      <c r="M189" s="90">
        <f t="shared" si="11"/>
        <v>59.4</v>
      </c>
      <c r="N189" s="90"/>
      <c r="O189" s="90"/>
      <c r="P189" s="90" t="str">
        <f t="shared" si="12"/>
        <v/>
      </c>
      <c r="Q189" s="90"/>
      <c r="R189" s="90"/>
      <c r="S189" s="90" t="str">
        <f t="shared" si="13"/>
        <v/>
      </c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</row>
    <row r="190" spans="1:32" ht="24.95" customHeight="1" x14ac:dyDescent="0.25">
      <c r="A190" s="100">
        <f t="shared" si="14"/>
        <v>187</v>
      </c>
      <c r="B190" s="98" t="s">
        <v>716</v>
      </c>
      <c r="C190" s="90" t="str">
        <f>LIST_OF_EQUIPMENT!$B$8</f>
        <v>MED - E4</v>
      </c>
      <c r="D190" s="90" t="s">
        <v>1011</v>
      </c>
      <c r="E190" s="90"/>
      <c r="F190" s="90" t="s">
        <v>1010</v>
      </c>
      <c r="G190" s="90" t="s">
        <v>702</v>
      </c>
      <c r="H190" s="90" t="s">
        <v>515</v>
      </c>
      <c r="I190" s="90"/>
      <c r="J190" s="90">
        <f t="shared" si="10"/>
        <v>188</v>
      </c>
      <c r="K190" s="90"/>
      <c r="L190" s="90"/>
      <c r="M190" s="90">
        <f t="shared" si="11"/>
        <v>59.4</v>
      </c>
      <c r="N190" s="90"/>
      <c r="O190" s="90"/>
      <c r="P190" s="90" t="str">
        <f t="shared" si="12"/>
        <v/>
      </c>
      <c r="Q190" s="90"/>
      <c r="R190" s="90"/>
      <c r="S190" s="90" t="str">
        <f t="shared" si="13"/>
        <v/>
      </c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</row>
    <row r="191" spans="1:32" ht="24.95" customHeight="1" x14ac:dyDescent="0.25">
      <c r="A191" s="100">
        <f t="shared" si="14"/>
        <v>188</v>
      </c>
      <c r="B191" s="98" t="s">
        <v>716</v>
      </c>
      <c r="C191" s="90" t="str">
        <f>LIST_OF_EQUIPMENT!$B$8</f>
        <v>MED - E4</v>
      </c>
      <c r="D191" s="90" t="s">
        <v>1012</v>
      </c>
      <c r="E191" s="90"/>
      <c r="F191" s="90" t="s">
        <v>1010</v>
      </c>
      <c r="G191" s="90" t="s">
        <v>705</v>
      </c>
      <c r="H191" s="90" t="s">
        <v>515</v>
      </c>
      <c r="I191" s="90"/>
      <c r="J191" s="90">
        <f t="shared" si="10"/>
        <v>188</v>
      </c>
      <c r="K191" s="90"/>
      <c r="L191" s="90"/>
      <c r="M191" s="90">
        <f t="shared" si="11"/>
        <v>59.4</v>
      </c>
      <c r="N191" s="90"/>
      <c r="O191" s="90"/>
      <c r="P191" s="90" t="str">
        <f t="shared" si="12"/>
        <v/>
      </c>
      <c r="Q191" s="90"/>
      <c r="R191" s="90"/>
      <c r="S191" s="90" t="str">
        <f t="shared" si="13"/>
        <v/>
      </c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</row>
    <row r="192" spans="1:32" ht="24.95" customHeight="1" x14ac:dyDescent="0.25">
      <c r="A192" s="100">
        <f t="shared" si="14"/>
        <v>189</v>
      </c>
      <c r="B192" s="98" t="s">
        <v>716</v>
      </c>
      <c r="C192" s="90" t="str">
        <f>LIST_OF_EQUIPMENT!$B$9</f>
        <v>MED - E5</v>
      </c>
      <c r="D192" s="90" t="s">
        <v>1013</v>
      </c>
      <c r="E192" s="90"/>
      <c r="F192" s="90" t="s">
        <v>1014</v>
      </c>
      <c r="G192" s="90" t="s">
        <v>993</v>
      </c>
      <c r="H192" s="90" t="s">
        <v>515</v>
      </c>
      <c r="I192" s="90"/>
      <c r="J192" s="90">
        <f t="shared" si="10"/>
        <v>161.80000000000001</v>
      </c>
      <c r="K192" s="90"/>
      <c r="L192" s="90"/>
      <c r="M192" s="90">
        <f t="shared" si="11"/>
        <v>56.2</v>
      </c>
      <c r="N192" s="90"/>
      <c r="O192" s="90"/>
      <c r="P192" s="90" t="str">
        <f t="shared" si="12"/>
        <v/>
      </c>
      <c r="Q192" s="90"/>
      <c r="R192" s="90"/>
      <c r="S192" s="90" t="str">
        <f t="shared" si="13"/>
        <v/>
      </c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</row>
    <row r="193" spans="1:32" ht="24.95" customHeight="1" x14ac:dyDescent="0.25">
      <c r="A193" s="100">
        <f t="shared" si="14"/>
        <v>190</v>
      </c>
      <c r="B193" s="98" t="s">
        <v>716</v>
      </c>
      <c r="C193" s="90" t="str">
        <f>LIST_OF_EQUIPMENT!$B$9</f>
        <v>MED - E5</v>
      </c>
      <c r="D193" s="90" t="s">
        <v>1015</v>
      </c>
      <c r="E193" s="90" t="s">
        <v>1016</v>
      </c>
      <c r="F193" s="90" t="s">
        <v>1017</v>
      </c>
      <c r="G193" s="90" t="s">
        <v>685</v>
      </c>
      <c r="H193" s="90" t="s">
        <v>515</v>
      </c>
      <c r="I193" s="90"/>
      <c r="J193" s="90">
        <f t="shared" si="10"/>
        <v>161.80000000000001</v>
      </c>
      <c r="K193" s="90"/>
      <c r="L193" s="90"/>
      <c r="M193" s="90">
        <f t="shared" si="11"/>
        <v>56.2</v>
      </c>
      <c r="N193" s="90"/>
      <c r="O193" s="90"/>
      <c r="P193" s="90" t="str">
        <f t="shared" si="12"/>
        <v/>
      </c>
      <c r="Q193" s="90"/>
      <c r="R193" s="90"/>
      <c r="S193" s="90" t="str">
        <f t="shared" si="13"/>
        <v/>
      </c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</row>
    <row r="194" spans="1:32" ht="24.95" customHeight="1" x14ac:dyDescent="0.25">
      <c r="A194" s="100">
        <f t="shared" si="14"/>
        <v>191</v>
      </c>
      <c r="B194" s="98" t="s">
        <v>716</v>
      </c>
      <c r="C194" s="90" t="str">
        <f>LIST_OF_EQUIPMENT!$B$9</f>
        <v>MED - E5</v>
      </c>
      <c r="D194" s="90" t="s">
        <v>1018</v>
      </c>
      <c r="E194" s="90"/>
      <c r="F194" s="90" t="s">
        <v>1017</v>
      </c>
      <c r="G194" s="90" t="s">
        <v>702</v>
      </c>
      <c r="H194" s="90" t="s">
        <v>515</v>
      </c>
      <c r="I194" s="90"/>
      <c r="J194" s="90">
        <f t="shared" si="10"/>
        <v>161.80000000000001</v>
      </c>
      <c r="K194" s="90"/>
      <c r="L194" s="90"/>
      <c r="M194" s="90">
        <f t="shared" si="11"/>
        <v>56.2</v>
      </c>
      <c r="N194" s="90"/>
      <c r="O194" s="90"/>
      <c r="P194" s="90" t="str">
        <f t="shared" si="12"/>
        <v/>
      </c>
      <c r="Q194" s="90"/>
      <c r="R194" s="90"/>
      <c r="S194" s="90" t="str">
        <f t="shared" si="13"/>
        <v/>
      </c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</row>
    <row r="195" spans="1:32" ht="24.95" customHeight="1" x14ac:dyDescent="0.25">
      <c r="A195" s="100">
        <f t="shared" si="14"/>
        <v>192</v>
      </c>
      <c r="B195" s="98" t="s">
        <v>716</v>
      </c>
      <c r="C195" s="90" t="str">
        <f>LIST_OF_EQUIPMENT!$B$9</f>
        <v>MED - E5</v>
      </c>
      <c r="D195" s="90" t="s">
        <v>1019</v>
      </c>
      <c r="E195" s="90"/>
      <c r="F195" s="90" t="s">
        <v>1017</v>
      </c>
      <c r="G195" s="90" t="s">
        <v>705</v>
      </c>
      <c r="H195" s="90" t="s">
        <v>515</v>
      </c>
      <c r="I195" s="90"/>
      <c r="J195" s="90">
        <f t="shared" si="10"/>
        <v>161.80000000000001</v>
      </c>
      <c r="K195" s="90"/>
      <c r="L195" s="90"/>
      <c r="M195" s="90">
        <f t="shared" si="11"/>
        <v>56.2</v>
      </c>
      <c r="N195" s="90"/>
      <c r="O195" s="90"/>
      <c r="P195" s="90" t="str">
        <f t="shared" si="12"/>
        <v/>
      </c>
      <c r="Q195" s="90"/>
      <c r="R195" s="90"/>
      <c r="S195" s="90" t="str">
        <f t="shared" si="13"/>
        <v/>
      </c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</row>
    <row r="196" spans="1:32" ht="24.95" customHeight="1" x14ac:dyDescent="0.25">
      <c r="A196" s="100">
        <f t="shared" si="14"/>
        <v>193</v>
      </c>
      <c r="B196" s="98" t="s">
        <v>716</v>
      </c>
      <c r="C196" s="90" t="str">
        <f>LIST_OF_EQUIPMENT!$B$10</f>
        <v>MED - E6</v>
      </c>
      <c r="D196" s="90" t="s">
        <v>1020</v>
      </c>
      <c r="E196" s="90"/>
      <c r="F196" s="90" t="s">
        <v>1021</v>
      </c>
      <c r="G196" s="90" t="s">
        <v>993</v>
      </c>
      <c r="H196" s="90" t="s">
        <v>515</v>
      </c>
      <c r="I196" s="90"/>
      <c r="J196" s="90">
        <f t="shared" ref="J196:J229" si="15">IFERROR(INDEX(Pressures_mbar,MATCH(INDEX(LOL_LineTags,MATCH(C196,LOL_LineNumbers,0)),LineTags,0)),IFERROR(INDEX(LOE_Pressures,MATCH(C196,LOE_EquipNames,0)),INDEX(LOE_Pressures,MATCH(C196,LOE_EquipTags,0))))</f>
        <v>139.5</v>
      </c>
      <c r="K196" s="90"/>
      <c r="L196" s="90"/>
      <c r="M196" s="90">
        <f t="shared" ref="M196:M229" si="16">IFERROR(INDEX(Temperatures,MATCH(INDEX(LOL_LineTags,MATCH(C196,LOL_LineNumbers,0)),LineTags,0)),IFERROR(INDEX(LOE_Temperatures,MATCH(C196,LOE_EquipNames,0)),INDEX(LOE_Temperatures,MATCH(C196,LOE_EquipTags,0))))</f>
        <v>53.1</v>
      </c>
      <c r="N196" s="90"/>
      <c r="O196" s="90"/>
      <c r="P196" s="90" t="str">
        <f t="shared" ref="P196:P229" si="17">IFERROR(INDEX(FlowRates_kghr,MATCH(INDEX(LOL_LineTags,MATCH(C196,LOL_LineNumbers,0)),LineTags,0)),"")</f>
        <v/>
      </c>
      <c r="Q196" s="90"/>
      <c r="R196" s="90"/>
      <c r="S196" s="90" t="str">
        <f t="shared" ref="S196:S229" si="18">IFERROR(INDEX(TDS_Values,MATCH(INDEX(LOL_LineTags,MATCH(C196,LOL_LineNumbers,0)),LineTags,0)),"")</f>
        <v/>
      </c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</row>
    <row r="197" spans="1:32" ht="24.95" customHeight="1" x14ac:dyDescent="0.25">
      <c r="A197" s="100">
        <f t="shared" ref="A197:A229" si="19">A196+1</f>
        <v>194</v>
      </c>
      <c r="B197" s="98" t="s">
        <v>716</v>
      </c>
      <c r="C197" s="90" t="str">
        <f>LIST_OF_EQUIPMENT!$B$10</f>
        <v>MED - E6</v>
      </c>
      <c r="D197" s="90" t="s">
        <v>1022</v>
      </c>
      <c r="E197" s="90" t="s">
        <v>1023</v>
      </c>
      <c r="F197" s="90" t="s">
        <v>1024</v>
      </c>
      <c r="G197" s="90" t="s">
        <v>685</v>
      </c>
      <c r="H197" s="90" t="s">
        <v>515</v>
      </c>
      <c r="I197" s="90"/>
      <c r="J197" s="90">
        <f t="shared" si="15"/>
        <v>139.5</v>
      </c>
      <c r="K197" s="90"/>
      <c r="L197" s="90"/>
      <c r="M197" s="90">
        <f t="shared" si="16"/>
        <v>53.1</v>
      </c>
      <c r="N197" s="90"/>
      <c r="O197" s="90"/>
      <c r="P197" s="90" t="str">
        <f t="shared" si="17"/>
        <v/>
      </c>
      <c r="Q197" s="90"/>
      <c r="R197" s="90"/>
      <c r="S197" s="90" t="str">
        <f t="shared" si="18"/>
        <v/>
      </c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</row>
    <row r="198" spans="1:32" ht="24.95" customHeight="1" x14ac:dyDescent="0.25">
      <c r="A198" s="100">
        <f t="shared" si="19"/>
        <v>195</v>
      </c>
      <c r="B198" s="98" t="s">
        <v>716</v>
      </c>
      <c r="C198" s="90" t="str">
        <f>LIST_OF_EQUIPMENT!$B$10</f>
        <v>MED - E6</v>
      </c>
      <c r="D198" s="90" t="s">
        <v>1025</v>
      </c>
      <c r="E198" s="90"/>
      <c r="F198" s="90" t="s">
        <v>1024</v>
      </c>
      <c r="G198" s="90" t="s">
        <v>702</v>
      </c>
      <c r="H198" s="90" t="s">
        <v>515</v>
      </c>
      <c r="I198" s="90"/>
      <c r="J198" s="90">
        <f t="shared" si="15"/>
        <v>139.5</v>
      </c>
      <c r="K198" s="90"/>
      <c r="L198" s="90"/>
      <c r="M198" s="90">
        <f t="shared" si="16"/>
        <v>53.1</v>
      </c>
      <c r="N198" s="90"/>
      <c r="O198" s="90"/>
      <c r="P198" s="90" t="str">
        <f t="shared" si="17"/>
        <v/>
      </c>
      <c r="Q198" s="90"/>
      <c r="R198" s="90"/>
      <c r="S198" s="90" t="str">
        <f t="shared" si="18"/>
        <v/>
      </c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</row>
    <row r="199" spans="1:32" ht="24.95" customHeight="1" x14ac:dyDescent="0.25">
      <c r="A199" s="100">
        <f t="shared" si="19"/>
        <v>196</v>
      </c>
      <c r="B199" s="98" t="s">
        <v>716</v>
      </c>
      <c r="C199" s="90" t="str">
        <f>LIST_OF_EQUIPMENT!$B$10</f>
        <v>MED - E6</v>
      </c>
      <c r="D199" s="90" t="s">
        <v>1026</v>
      </c>
      <c r="E199" s="90"/>
      <c r="F199" s="90" t="s">
        <v>1024</v>
      </c>
      <c r="G199" s="90" t="s">
        <v>705</v>
      </c>
      <c r="H199" s="90" t="s">
        <v>515</v>
      </c>
      <c r="I199" s="90"/>
      <c r="J199" s="90">
        <f t="shared" si="15"/>
        <v>139.5</v>
      </c>
      <c r="K199" s="90"/>
      <c r="L199" s="90"/>
      <c r="M199" s="90">
        <f t="shared" si="16"/>
        <v>53.1</v>
      </c>
      <c r="N199" s="90"/>
      <c r="O199" s="90"/>
      <c r="P199" s="90" t="str">
        <f t="shared" si="17"/>
        <v/>
      </c>
      <c r="Q199" s="90"/>
      <c r="R199" s="90"/>
      <c r="S199" s="90" t="str">
        <f t="shared" si="18"/>
        <v/>
      </c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</row>
    <row r="200" spans="1:32" ht="24.95" customHeight="1" x14ac:dyDescent="0.25">
      <c r="A200" s="100">
        <f t="shared" si="19"/>
        <v>197</v>
      </c>
      <c r="B200" s="98" t="s">
        <v>716</v>
      </c>
      <c r="C200" s="90" t="str">
        <f>LIST_OF_EQUIPMENT!B$11</f>
        <v>MED - E7</v>
      </c>
      <c r="D200" s="90" t="s">
        <v>1027</v>
      </c>
      <c r="E200" s="90"/>
      <c r="F200" s="90" t="s">
        <v>1028</v>
      </c>
      <c r="G200" s="90" t="s">
        <v>993</v>
      </c>
      <c r="H200" s="90" t="s">
        <v>515</v>
      </c>
      <c r="I200" s="90"/>
      <c r="J200" s="90">
        <f t="shared" si="15"/>
        <v>119.8</v>
      </c>
      <c r="K200" s="90"/>
      <c r="L200" s="90"/>
      <c r="M200" s="90">
        <f t="shared" si="16"/>
        <v>50</v>
      </c>
      <c r="N200" s="90"/>
      <c r="O200" s="90"/>
      <c r="P200" s="90" t="str">
        <f t="shared" si="17"/>
        <v/>
      </c>
      <c r="Q200" s="90"/>
      <c r="R200" s="90"/>
      <c r="S200" s="90" t="str">
        <f t="shared" si="18"/>
        <v/>
      </c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</row>
    <row r="201" spans="1:32" ht="24.95" customHeight="1" x14ac:dyDescent="0.25">
      <c r="A201" s="100">
        <f t="shared" si="19"/>
        <v>198</v>
      </c>
      <c r="B201" s="98" t="s">
        <v>716</v>
      </c>
      <c r="C201" s="90" t="str">
        <f>LIST_OF_EQUIPMENT!B$11</f>
        <v>MED - E7</v>
      </c>
      <c r="D201" s="90" t="s">
        <v>1029</v>
      </c>
      <c r="E201" s="90" t="s">
        <v>1030</v>
      </c>
      <c r="F201" s="90" t="s">
        <v>1031</v>
      </c>
      <c r="G201" s="90" t="s">
        <v>685</v>
      </c>
      <c r="H201" s="90" t="s">
        <v>515</v>
      </c>
      <c r="I201" s="90"/>
      <c r="J201" s="90">
        <f t="shared" si="15"/>
        <v>119.8</v>
      </c>
      <c r="K201" s="90"/>
      <c r="L201" s="90"/>
      <c r="M201" s="90">
        <f t="shared" si="16"/>
        <v>50</v>
      </c>
      <c r="N201" s="90"/>
      <c r="O201" s="90"/>
      <c r="P201" s="90" t="str">
        <f t="shared" si="17"/>
        <v/>
      </c>
      <c r="Q201" s="90"/>
      <c r="R201" s="90"/>
      <c r="S201" s="90" t="str">
        <f t="shared" si="18"/>
        <v/>
      </c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</row>
    <row r="202" spans="1:32" ht="24.95" customHeight="1" x14ac:dyDescent="0.25">
      <c r="A202" s="100">
        <f t="shared" si="19"/>
        <v>199</v>
      </c>
      <c r="B202" s="98" t="s">
        <v>716</v>
      </c>
      <c r="C202" s="90" t="str">
        <f>LIST_OF_EQUIPMENT!B$11</f>
        <v>MED - E7</v>
      </c>
      <c r="D202" s="90" t="s">
        <v>1032</v>
      </c>
      <c r="E202" s="90"/>
      <c r="F202" s="90" t="s">
        <v>1031</v>
      </c>
      <c r="G202" s="90" t="s">
        <v>702</v>
      </c>
      <c r="H202" s="90" t="s">
        <v>515</v>
      </c>
      <c r="I202" s="90"/>
      <c r="J202" s="90">
        <f t="shared" si="15"/>
        <v>119.8</v>
      </c>
      <c r="K202" s="90"/>
      <c r="L202" s="90"/>
      <c r="M202" s="90">
        <f t="shared" si="16"/>
        <v>50</v>
      </c>
      <c r="N202" s="90"/>
      <c r="O202" s="90"/>
      <c r="P202" s="90" t="str">
        <f t="shared" si="17"/>
        <v/>
      </c>
      <c r="Q202" s="90"/>
      <c r="R202" s="90"/>
      <c r="S202" s="90" t="str">
        <f t="shared" si="18"/>
        <v/>
      </c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</row>
    <row r="203" spans="1:32" ht="24.95" customHeight="1" x14ac:dyDescent="0.25">
      <c r="A203" s="100">
        <f t="shared" si="19"/>
        <v>200</v>
      </c>
      <c r="B203" s="98" t="s">
        <v>716</v>
      </c>
      <c r="C203" s="90" t="str">
        <f>LIST_OF_EQUIPMENT!B$11</f>
        <v>MED - E7</v>
      </c>
      <c r="D203" s="90" t="s">
        <v>1033</v>
      </c>
      <c r="E203" s="90"/>
      <c r="F203" s="90" t="s">
        <v>1031</v>
      </c>
      <c r="G203" s="90" t="s">
        <v>705</v>
      </c>
      <c r="H203" s="90" t="s">
        <v>515</v>
      </c>
      <c r="I203" s="90"/>
      <c r="J203" s="90">
        <f t="shared" si="15"/>
        <v>119.8</v>
      </c>
      <c r="K203" s="90"/>
      <c r="L203" s="90"/>
      <c r="M203" s="90">
        <f t="shared" si="16"/>
        <v>50</v>
      </c>
      <c r="N203" s="90"/>
      <c r="O203" s="90"/>
      <c r="P203" s="90" t="str">
        <f t="shared" si="17"/>
        <v/>
      </c>
      <c r="Q203" s="90"/>
      <c r="R203" s="90"/>
      <c r="S203" s="90" t="str">
        <f t="shared" si="18"/>
        <v/>
      </c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</row>
    <row r="204" spans="1:32" ht="24.95" customHeight="1" x14ac:dyDescent="0.25">
      <c r="A204" s="100">
        <f t="shared" si="19"/>
        <v>201</v>
      </c>
      <c r="B204" s="98" t="s">
        <v>716</v>
      </c>
      <c r="C204" s="90" t="str">
        <f>LIST_OF_EQUIPMENT!$B$12</f>
        <v>MED - E8</v>
      </c>
      <c r="D204" s="90" t="s">
        <v>1034</v>
      </c>
      <c r="E204" s="90"/>
      <c r="F204" s="90" t="s">
        <v>1035</v>
      </c>
      <c r="G204" s="90" t="s">
        <v>993</v>
      </c>
      <c r="H204" s="90" t="s">
        <v>515</v>
      </c>
      <c r="I204" s="90"/>
      <c r="J204" s="90">
        <f t="shared" si="15"/>
        <v>101.7</v>
      </c>
      <c r="K204" s="90"/>
      <c r="L204" s="90"/>
      <c r="M204" s="90">
        <f t="shared" si="16"/>
        <v>46.72</v>
      </c>
      <c r="N204" s="90"/>
      <c r="O204" s="90"/>
      <c r="P204" s="90" t="str">
        <f t="shared" si="17"/>
        <v/>
      </c>
      <c r="Q204" s="90"/>
      <c r="R204" s="90"/>
      <c r="S204" s="90" t="str">
        <f t="shared" si="18"/>
        <v/>
      </c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</row>
    <row r="205" spans="1:32" ht="24.95" customHeight="1" x14ac:dyDescent="0.25">
      <c r="A205" s="100">
        <f t="shared" si="19"/>
        <v>202</v>
      </c>
      <c r="B205" s="98" t="s">
        <v>716</v>
      </c>
      <c r="C205" s="90" t="str">
        <f>LIST_OF_EQUIPMENT!$B$12</f>
        <v>MED - E8</v>
      </c>
      <c r="D205" s="90" t="s">
        <v>1036</v>
      </c>
      <c r="E205" s="90" t="s">
        <v>1037</v>
      </c>
      <c r="F205" s="90" t="s">
        <v>1038</v>
      </c>
      <c r="G205" s="90" t="s">
        <v>685</v>
      </c>
      <c r="H205" s="90" t="s">
        <v>515</v>
      </c>
      <c r="I205" s="90"/>
      <c r="J205" s="90">
        <f t="shared" si="15"/>
        <v>101.7</v>
      </c>
      <c r="K205" s="90"/>
      <c r="L205" s="90"/>
      <c r="M205" s="90">
        <f t="shared" si="16"/>
        <v>46.72</v>
      </c>
      <c r="N205" s="90"/>
      <c r="O205" s="90"/>
      <c r="P205" s="90" t="str">
        <f t="shared" si="17"/>
        <v/>
      </c>
      <c r="Q205" s="90"/>
      <c r="R205" s="90"/>
      <c r="S205" s="90" t="str">
        <f t="shared" si="18"/>
        <v/>
      </c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</row>
    <row r="206" spans="1:32" ht="24.95" customHeight="1" x14ac:dyDescent="0.25">
      <c r="A206" s="100">
        <f t="shared" si="19"/>
        <v>203</v>
      </c>
      <c r="B206" s="98" t="s">
        <v>716</v>
      </c>
      <c r="C206" s="90" t="str">
        <f>LIST_OF_EQUIPMENT!$B$12</f>
        <v>MED - E8</v>
      </c>
      <c r="D206" s="90" t="s">
        <v>1039</v>
      </c>
      <c r="E206" s="90"/>
      <c r="F206" s="90" t="s">
        <v>1038</v>
      </c>
      <c r="G206" s="90" t="s">
        <v>702</v>
      </c>
      <c r="H206" s="90" t="s">
        <v>515</v>
      </c>
      <c r="I206" s="90"/>
      <c r="J206" s="90">
        <f t="shared" si="15"/>
        <v>101.7</v>
      </c>
      <c r="K206" s="90"/>
      <c r="L206" s="90"/>
      <c r="M206" s="90">
        <f t="shared" si="16"/>
        <v>46.72</v>
      </c>
      <c r="N206" s="90"/>
      <c r="O206" s="90"/>
      <c r="P206" s="90" t="str">
        <f t="shared" si="17"/>
        <v/>
      </c>
      <c r="Q206" s="90"/>
      <c r="R206" s="90"/>
      <c r="S206" s="90" t="str">
        <f t="shared" si="18"/>
        <v/>
      </c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</row>
    <row r="207" spans="1:32" ht="24.95" customHeight="1" x14ac:dyDescent="0.25">
      <c r="A207" s="100">
        <f t="shared" si="19"/>
        <v>204</v>
      </c>
      <c r="B207" s="98" t="s">
        <v>716</v>
      </c>
      <c r="C207" s="90" t="str">
        <f>LIST_OF_EQUIPMENT!$B$12</f>
        <v>MED - E8</v>
      </c>
      <c r="D207" s="90" t="s">
        <v>1040</v>
      </c>
      <c r="E207" s="90"/>
      <c r="F207" s="90" t="s">
        <v>1038</v>
      </c>
      <c r="G207" s="90" t="s">
        <v>705</v>
      </c>
      <c r="H207" s="90" t="s">
        <v>515</v>
      </c>
      <c r="I207" s="90"/>
      <c r="J207" s="90">
        <f t="shared" si="15"/>
        <v>101.7</v>
      </c>
      <c r="K207" s="90"/>
      <c r="L207" s="90"/>
      <c r="M207" s="90">
        <f t="shared" si="16"/>
        <v>46.72</v>
      </c>
      <c r="N207" s="90"/>
      <c r="O207" s="90"/>
      <c r="P207" s="90" t="str">
        <f t="shared" si="17"/>
        <v/>
      </c>
      <c r="Q207" s="90"/>
      <c r="R207" s="90"/>
      <c r="S207" s="90" t="str">
        <f t="shared" si="18"/>
        <v/>
      </c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</row>
    <row r="208" spans="1:32" ht="24.95" customHeight="1" x14ac:dyDescent="0.25">
      <c r="A208" s="100">
        <f t="shared" si="19"/>
        <v>205</v>
      </c>
      <c r="B208" s="98" t="s">
        <v>716</v>
      </c>
      <c r="C208" s="90" t="str">
        <f>LIST_OF_EQUIPMENT!$B$13</f>
        <v>MED - E9</v>
      </c>
      <c r="D208" s="90" t="s">
        <v>1041</v>
      </c>
      <c r="E208" s="90"/>
      <c r="F208" s="90" t="s">
        <v>1042</v>
      </c>
      <c r="G208" s="90" t="s">
        <v>993</v>
      </c>
      <c r="H208" s="90" t="s">
        <v>515</v>
      </c>
      <c r="I208" s="90"/>
      <c r="J208" s="90">
        <f t="shared" si="15"/>
        <v>84.6</v>
      </c>
      <c r="K208" s="90"/>
      <c r="L208" s="90"/>
      <c r="M208" s="90">
        <f t="shared" si="16"/>
        <v>43.14</v>
      </c>
      <c r="N208" s="90"/>
      <c r="O208" s="90"/>
      <c r="P208" s="90" t="str">
        <f t="shared" si="17"/>
        <v/>
      </c>
      <c r="Q208" s="90"/>
      <c r="R208" s="90"/>
      <c r="S208" s="90" t="str">
        <f t="shared" si="18"/>
        <v/>
      </c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</row>
    <row r="209" spans="1:32" ht="24.95" customHeight="1" x14ac:dyDescent="0.25">
      <c r="A209" s="100">
        <f t="shared" si="19"/>
        <v>206</v>
      </c>
      <c r="B209" s="98" t="s">
        <v>716</v>
      </c>
      <c r="C209" s="90" t="str">
        <f>LIST_OF_EQUIPMENT!$B$13</f>
        <v>MED - E9</v>
      </c>
      <c r="D209" s="90" t="s">
        <v>1043</v>
      </c>
      <c r="E209" s="90" t="s">
        <v>1044</v>
      </c>
      <c r="F209" s="90" t="s">
        <v>1045</v>
      </c>
      <c r="G209" s="90" t="s">
        <v>685</v>
      </c>
      <c r="H209" s="90" t="s">
        <v>515</v>
      </c>
      <c r="I209" s="90"/>
      <c r="J209" s="90">
        <f t="shared" si="15"/>
        <v>84.6</v>
      </c>
      <c r="K209" s="90"/>
      <c r="L209" s="90"/>
      <c r="M209" s="90">
        <f t="shared" si="16"/>
        <v>43.14</v>
      </c>
      <c r="N209" s="90"/>
      <c r="O209" s="90"/>
      <c r="P209" s="90" t="str">
        <f t="shared" si="17"/>
        <v/>
      </c>
      <c r="Q209" s="90"/>
      <c r="R209" s="90"/>
      <c r="S209" s="90" t="str">
        <f t="shared" si="18"/>
        <v/>
      </c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</row>
    <row r="210" spans="1:32" ht="24.95" customHeight="1" x14ac:dyDescent="0.25">
      <c r="A210" s="100">
        <f t="shared" si="19"/>
        <v>207</v>
      </c>
      <c r="B210" s="98" t="s">
        <v>716</v>
      </c>
      <c r="C210" s="90" t="str">
        <f>LIST_OF_EQUIPMENT!$B$13</f>
        <v>MED - E9</v>
      </c>
      <c r="D210" s="90" t="s">
        <v>1046</v>
      </c>
      <c r="E210" s="90"/>
      <c r="F210" s="90" t="s">
        <v>1045</v>
      </c>
      <c r="G210" s="90" t="s">
        <v>702</v>
      </c>
      <c r="H210" s="90" t="s">
        <v>515</v>
      </c>
      <c r="I210" s="90"/>
      <c r="J210" s="90">
        <f t="shared" si="15"/>
        <v>84.6</v>
      </c>
      <c r="K210" s="90"/>
      <c r="L210" s="90"/>
      <c r="M210" s="90">
        <f t="shared" si="16"/>
        <v>43.14</v>
      </c>
      <c r="N210" s="90"/>
      <c r="O210" s="90"/>
      <c r="P210" s="90" t="str">
        <f t="shared" si="17"/>
        <v/>
      </c>
      <c r="Q210" s="90"/>
      <c r="R210" s="90"/>
      <c r="S210" s="90" t="str">
        <f t="shared" si="18"/>
        <v/>
      </c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</row>
    <row r="211" spans="1:32" ht="24.95" customHeight="1" x14ac:dyDescent="0.25">
      <c r="A211" s="100">
        <f t="shared" si="19"/>
        <v>208</v>
      </c>
      <c r="B211" s="98" t="s">
        <v>716</v>
      </c>
      <c r="C211" s="90" t="str">
        <f>LIST_OF_EQUIPMENT!$B$13</f>
        <v>MED - E9</v>
      </c>
      <c r="D211" s="90" t="s">
        <v>1047</v>
      </c>
      <c r="E211" s="90"/>
      <c r="F211" s="90" t="s">
        <v>1045</v>
      </c>
      <c r="G211" s="90" t="s">
        <v>705</v>
      </c>
      <c r="H211" s="90" t="s">
        <v>515</v>
      </c>
      <c r="I211" s="90"/>
      <c r="J211" s="90">
        <f t="shared" si="15"/>
        <v>84.6</v>
      </c>
      <c r="K211" s="90"/>
      <c r="L211" s="90"/>
      <c r="M211" s="90">
        <f t="shared" si="16"/>
        <v>43.14</v>
      </c>
      <c r="N211" s="90"/>
      <c r="O211" s="90"/>
      <c r="P211" s="90" t="str">
        <f t="shared" si="17"/>
        <v/>
      </c>
      <c r="Q211" s="90"/>
      <c r="R211" s="90"/>
      <c r="S211" s="90" t="str">
        <f t="shared" si="18"/>
        <v/>
      </c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</row>
    <row r="212" spans="1:32" ht="24.95" customHeight="1" x14ac:dyDescent="0.25">
      <c r="A212" s="100">
        <f t="shared" si="19"/>
        <v>209</v>
      </c>
      <c r="B212" s="98" t="s">
        <v>716</v>
      </c>
      <c r="C212" s="90" t="str">
        <f>LIST_OF_EQUIPMENT!$B$13</f>
        <v>MED - E9</v>
      </c>
      <c r="D212" s="90" t="s">
        <v>1048</v>
      </c>
      <c r="E212" s="90" t="s">
        <v>1049</v>
      </c>
      <c r="F212" s="90" t="s">
        <v>1045</v>
      </c>
      <c r="G212" s="90" t="s">
        <v>685</v>
      </c>
      <c r="H212" s="90" t="s">
        <v>515</v>
      </c>
      <c r="I212" s="90"/>
      <c r="J212" s="90">
        <f t="shared" si="15"/>
        <v>84.6</v>
      </c>
      <c r="K212" s="90"/>
      <c r="L212" s="90"/>
      <c r="M212" s="90">
        <f t="shared" si="16"/>
        <v>43.14</v>
      </c>
      <c r="N212" s="90"/>
      <c r="O212" s="90"/>
      <c r="P212" s="90" t="str">
        <f t="shared" si="17"/>
        <v/>
      </c>
      <c r="Q212" s="90"/>
      <c r="R212" s="90"/>
      <c r="S212" s="90" t="str">
        <f t="shared" si="18"/>
        <v/>
      </c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</row>
    <row r="213" spans="1:32" ht="24.95" customHeight="1" x14ac:dyDescent="0.25">
      <c r="A213" s="100">
        <f t="shared" si="19"/>
        <v>210</v>
      </c>
      <c r="B213" s="98" t="s">
        <v>716</v>
      </c>
      <c r="C213" s="90" t="str">
        <f>LIST_OF_EQUIPMENT!$B$13</f>
        <v>MED - E9</v>
      </c>
      <c r="D213" s="90" t="s">
        <v>1050</v>
      </c>
      <c r="E213" s="90"/>
      <c r="F213" s="90" t="s">
        <v>1045</v>
      </c>
      <c r="G213" s="90" t="s">
        <v>702</v>
      </c>
      <c r="H213" s="90" t="s">
        <v>515</v>
      </c>
      <c r="I213" s="90"/>
      <c r="J213" s="90">
        <f t="shared" si="15"/>
        <v>84.6</v>
      </c>
      <c r="K213" s="90"/>
      <c r="L213" s="90"/>
      <c r="M213" s="90">
        <f t="shared" si="16"/>
        <v>43.14</v>
      </c>
      <c r="N213" s="90"/>
      <c r="O213" s="90"/>
      <c r="P213" s="90" t="str">
        <f t="shared" si="17"/>
        <v/>
      </c>
      <c r="Q213" s="90"/>
      <c r="R213" s="90"/>
      <c r="S213" s="90" t="str">
        <f t="shared" si="18"/>
        <v/>
      </c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</row>
    <row r="214" spans="1:32" ht="24.95" customHeight="1" x14ac:dyDescent="0.25">
      <c r="A214" s="100">
        <f t="shared" si="19"/>
        <v>211</v>
      </c>
      <c r="B214" s="98" t="s">
        <v>716</v>
      </c>
      <c r="C214" s="90" t="str">
        <f>LIST_OF_EQUIPMENT!$B$13</f>
        <v>MED - E9</v>
      </c>
      <c r="D214" s="90" t="s">
        <v>1051</v>
      </c>
      <c r="E214" s="90"/>
      <c r="F214" s="90" t="s">
        <v>1045</v>
      </c>
      <c r="G214" s="90" t="s">
        <v>705</v>
      </c>
      <c r="H214" s="90" t="s">
        <v>515</v>
      </c>
      <c r="I214" s="90"/>
      <c r="J214" s="90">
        <f t="shared" si="15"/>
        <v>84.6</v>
      </c>
      <c r="K214" s="90"/>
      <c r="L214" s="90"/>
      <c r="M214" s="90">
        <f t="shared" si="16"/>
        <v>43.14</v>
      </c>
      <c r="N214" s="90"/>
      <c r="O214" s="90"/>
      <c r="P214" s="90" t="str">
        <f t="shared" si="17"/>
        <v/>
      </c>
      <c r="Q214" s="90"/>
      <c r="R214" s="90"/>
      <c r="S214" s="90" t="str">
        <f t="shared" si="18"/>
        <v/>
      </c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</row>
    <row r="215" spans="1:32" ht="24.95" customHeight="1" x14ac:dyDescent="0.25">
      <c r="A215" s="100">
        <f t="shared" si="19"/>
        <v>212</v>
      </c>
      <c r="B215" s="98" t="s">
        <v>895</v>
      </c>
      <c r="C215" s="50" t="str">
        <f>LIST_OF_EQUIPMENT!$B$3</f>
        <v>LTFV</v>
      </c>
      <c r="D215" s="90" t="s">
        <v>1052</v>
      </c>
      <c r="E215" s="90" t="s">
        <v>1053</v>
      </c>
      <c r="F215" s="90" t="s">
        <v>1054</v>
      </c>
      <c r="G215" s="90" t="s">
        <v>685</v>
      </c>
      <c r="H215" s="90" t="s">
        <v>515</v>
      </c>
      <c r="I215" s="90"/>
      <c r="J215" s="90">
        <f t="shared" si="15"/>
        <v>67.96946100000001</v>
      </c>
      <c r="K215" s="90"/>
      <c r="L215" s="90"/>
      <c r="M215" s="90">
        <f t="shared" si="16"/>
        <v>38.388778286519027</v>
      </c>
      <c r="N215" s="90"/>
      <c r="O215" s="90"/>
      <c r="P215" s="90" t="str">
        <f t="shared" si="17"/>
        <v/>
      </c>
      <c r="Q215" s="90"/>
      <c r="R215" s="90"/>
      <c r="S215" s="90" t="str">
        <f t="shared" si="18"/>
        <v/>
      </c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</row>
    <row r="216" spans="1:32" ht="24.95" customHeight="1" x14ac:dyDescent="0.25">
      <c r="A216" s="100">
        <f t="shared" si="19"/>
        <v>213</v>
      </c>
      <c r="B216" s="98" t="s">
        <v>895</v>
      </c>
      <c r="C216" s="50" t="str">
        <f>LIST_OF_EQUIPMENT!$B$3</f>
        <v>LTFV</v>
      </c>
      <c r="D216" s="90" t="s">
        <v>1055</v>
      </c>
      <c r="E216" s="90"/>
      <c r="F216" s="90" t="s">
        <v>1054</v>
      </c>
      <c r="G216" s="90" t="s">
        <v>702</v>
      </c>
      <c r="H216" s="90" t="s">
        <v>515</v>
      </c>
      <c r="I216" s="90"/>
      <c r="J216" s="90">
        <f t="shared" si="15"/>
        <v>67.96946100000001</v>
      </c>
      <c r="K216" s="90"/>
      <c r="L216" s="90"/>
      <c r="M216" s="90">
        <f t="shared" si="16"/>
        <v>38.388778286519027</v>
      </c>
      <c r="N216" s="90"/>
      <c r="O216" s="90"/>
      <c r="P216" s="90" t="str">
        <f t="shared" si="17"/>
        <v/>
      </c>
      <c r="Q216" s="90"/>
      <c r="R216" s="90"/>
      <c r="S216" s="90" t="str">
        <f t="shared" si="18"/>
        <v/>
      </c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</row>
    <row r="217" spans="1:32" ht="24.95" customHeight="1" x14ac:dyDescent="0.25">
      <c r="A217" s="100">
        <f t="shared" si="19"/>
        <v>214</v>
      </c>
      <c r="B217" s="98" t="s">
        <v>895</v>
      </c>
      <c r="C217" s="50" t="str">
        <f>LIST_OF_EQUIPMENT!$B$3</f>
        <v>LTFV</v>
      </c>
      <c r="D217" s="90" t="s">
        <v>1056</v>
      </c>
      <c r="E217" s="90"/>
      <c r="F217" s="90" t="s">
        <v>1054</v>
      </c>
      <c r="G217" s="90" t="s">
        <v>705</v>
      </c>
      <c r="H217" s="90" t="s">
        <v>515</v>
      </c>
      <c r="I217" s="90"/>
      <c r="J217" s="90">
        <f t="shared" si="15"/>
        <v>67.96946100000001</v>
      </c>
      <c r="K217" s="90"/>
      <c r="L217" s="90"/>
      <c r="M217" s="90">
        <f t="shared" si="16"/>
        <v>38.388778286519027</v>
      </c>
      <c r="N217" s="90"/>
      <c r="O217" s="90"/>
      <c r="P217" s="90" t="str">
        <f t="shared" si="17"/>
        <v/>
      </c>
      <c r="Q217" s="90"/>
      <c r="R217" s="90"/>
      <c r="S217" s="90" t="str">
        <f t="shared" si="18"/>
        <v/>
      </c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</row>
    <row r="218" spans="1:32" ht="24.95" customHeight="1" x14ac:dyDescent="0.25">
      <c r="A218" s="100">
        <f t="shared" si="19"/>
        <v>215</v>
      </c>
      <c r="B218" s="98" t="s">
        <v>895</v>
      </c>
      <c r="C218" s="50" t="str">
        <f>LIST_OF_EQUIPMENT!$B$4</f>
        <v>HTFV</v>
      </c>
      <c r="D218" s="90" t="s">
        <v>1057</v>
      </c>
      <c r="E218" s="90" t="s">
        <v>1058</v>
      </c>
      <c r="F218" s="90" t="s">
        <v>1059</v>
      </c>
      <c r="G218" s="90" t="s">
        <v>685</v>
      </c>
      <c r="H218" s="90" t="s">
        <v>515</v>
      </c>
      <c r="I218" s="90"/>
      <c r="J218" s="90">
        <f t="shared" si="15"/>
        <v>320.45592342197199</v>
      </c>
      <c r="K218" s="90"/>
      <c r="L218" s="90"/>
      <c r="M218" s="90">
        <f t="shared" si="16"/>
        <v>70.600000000000023</v>
      </c>
      <c r="N218" s="90"/>
      <c r="O218" s="90"/>
      <c r="P218" s="90" t="str">
        <f t="shared" si="17"/>
        <v/>
      </c>
      <c r="Q218" s="90"/>
      <c r="R218" s="90"/>
      <c r="S218" s="90" t="str">
        <f t="shared" si="18"/>
        <v/>
      </c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</row>
    <row r="219" spans="1:32" ht="24.95" customHeight="1" x14ac:dyDescent="0.25">
      <c r="A219" s="100">
        <f t="shared" si="19"/>
        <v>216</v>
      </c>
      <c r="B219" s="98" t="s">
        <v>895</v>
      </c>
      <c r="C219" s="50" t="str">
        <f>LIST_OF_EQUIPMENT!$B$4</f>
        <v>HTFV</v>
      </c>
      <c r="D219" s="90" t="s">
        <v>1060</v>
      </c>
      <c r="E219" s="90"/>
      <c r="F219" s="90" t="s">
        <v>1059</v>
      </c>
      <c r="G219" s="90" t="s">
        <v>702</v>
      </c>
      <c r="H219" s="90" t="s">
        <v>515</v>
      </c>
      <c r="I219" s="90"/>
      <c r="J219" s="90">
        <f t="shared" si="15"/>
        <v>320.45592342197199</v>
      </c>
      <c r="K219" s="90"/>
      <c r="L219" s="90"/>
      <c r="M219" s="90">
        <f t="shared" si="16"/>
        <v>70.600000000000023</v>
      </c>
      <c r="N219" s="90"/>
      <c r="O219" s="90"/>
      <c r="P219" s="90" t="str">
        <f t="shared" si="17"/>
        <v/>
      </c>
      <c r="Q219" s="90"/>
      <c r="R219" s="90"/>
      <c r="S219" s="90" t="str">
        <f t="shared" si="18"/>
        <v/>
      </c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</row>
    <row r="220" spans="1:32" ht="24.95" customHeight="1" x14ac:dyDescent="0.25">
      <c r="A220" s="100">
        <f t="shared" si="19"/>
        <v>217</v>
      </c>
      <c r="B220" s="98" t="s">
        <v>895</v>
      </c>
      <c r="C220" s="50" t="str">
        <f>LIST_OF_EQUIPMENT!$B$4</f>
        <v>HTFV</v>
      </c>
      <c r="D220" s="90" t="s">
        <v>1061</v>
      </c>
      <c r="E220" s="90"/>
      <c r="F220" s="90" t="s">
        <v>1059</v>
      </c>
      <c r="G220" s="90" t="s">
        <v>705</v>
      </c>
      <c r="H220" s="90" t="s">
        <v>515</v>
      </c>
      <c r="I220" s="90"/>
      <c r="J220" s="90">
        <f t="shared" si="15"/>
        <v>320.45592342197199</v>
      </c>
      <c r="K220" s="90"/>
      <c r="L220" s="90"/>
      <c r="M220" s="90">
        <f t="shared" si="16"/>
        <v>70.600000000000023</v>
      </c>
      <c r="N220" s="90"/>
      <c r="O220" s="90"/>
      <c r="P220" s="90" t="str">
        <f t="shared" si="17"/>
        <v/>
      </c>
      <c r="Q220" s="90"/>
      <c r="R220" s="90"/>
      <c r="S220" s="90" t="str">
        <f t="shared" si="18"/>
        <v/>
      </c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</row>
    <row r="221" spans="1:32" ht="24.95" customHeight="1" x14ac:dyDescent="0.25">
      <c r="A221" s="89">
        <f t="shared" si="19"/>
        <v>218</v>
      </c>
      <c r="B221" s="50" t="s">
        <v>681</v>
      </c>
      <c r="C221" s="50" t="str">
        <f>LIST_OF_EQUIPMENT!$B$14</f>
        <v>FC</v>
      </c>
      <c r="D221" s="90" t="s">
        <v>1062</v>
      </c>
      <c r="E221" s="90" t="s">
        <v>1063</v>
      </c>
      <c r="F221" s="50" t="s">
        <v>387</v>
      </c>
      <c r="G221" s="90" t="s">
        <v>685</v>
      </c>
      <c r="H221" s="90" t="s">
        <v>80</v>
      </c>
      <c r="I221" s="90"/>
      <c r="J221" s="90">
        <f t="shared" si="15"/>
        <v>82</v>
      </c>
      <c r="K221" s="90"/>
      <c r="L221" s="90"/>
      <c r="M221" s="90">
        <f t="shared" si="16"/>
        <v>41.91</v>
      </c>
      <c r="N221" s="90"/>
      <c r="O221" s="90"/>
      <c r="P221" s="90" t="str">
        <f t="shared" si="17"/>
        <v/>
      </c>
      <c r="Q221" s="90"/>
      <c r="R221" s="90"/>
      <c r="S221" s="90" t="str">
        <f t="shared" si="18"/>
        <v/>
      </c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</row>
    <row r="222" spans="1:32" ht="24.95" customHeight="1" x14ac:dyDescent="0.25">
      <c r="A222" s="89">
        <f t="shared" si="19"/>
        <v>219</v>
      </c>
      <c r="B222" s="50" t="s">
        <v>681</v>
      </c>
      <c r="C222" s="50" t="str">
        <f>LIST_OF_EQUIPMENT!$B$14</f>
        <v>FC</v>
      </c>
      <c r="D222" s="90" t="s">
        <v>1064</v>
      </c>
      <c r="E222" s="90"/>
      <c r="F222" s="50" t="s">
        <v>387</v>
      </c>
      <c r="G222" s="90" t="s">
        <v>702</v>
      </c>
      <c r="H222" s="90" t="s">
        <v>80</v>
      </c>
      <c r="I222" s="90"/>
      <c r="J222" s="90">
        <f t="shared" si="15"/>
        <v>82</v>
      </c>
      <c r="K222" s="90"/>
      <c r="L222" s="90"/>
      <c r="M222" s="90">
        <f t="shared" si="16"/>
        <v>41.91</v>
      </c>
      <c r="N222" s="90"/>
      <c r="O222" s="90"/>
      <c r="P222" s="90" t="str">
        <f t="shared" si="17"/>
        <v/>
      </c>
      <c r="Q222" s="90"/>
      <c r="R222" s="90"/>
      <c r="S222" s="90" t="str">
        <f t="shared" si="18"/>
        <v/>
      </c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</row>
    <row r="223" spans="1:32" ht="24.95" customHeight="1" x14ac:dyDescent="0.25">
      <c r="A223" s="89">
        <f t="shared" si="19"/>
        <v>220</v>
      </c>
      <c r="B223" s="50" t="s">
        <v>681</v>
      </c>
      <c r="C223" s="50" t="str">
        <f>LIST_OF_EQUIPMENT!$B$14</f>
        <v>FC</v>
      </c>
      <c r="D223" s="90" t="s">
        <v>1065</v>
      </c>
      <c r="E223" s="90"/>
      <c r="F223" s="50" t="s">
        <v>387</v>
      </c>
      <c r="G223" s="90" t="s">
        <v>705</v>
      </c>
      <c r="H223" s="90" t="s">
        <v>80</v>
      </c>
      <c r="I223" s="90"/>
      <c r="J223" s="90">
        <f t="shared" si="15"/>
        <v>82</v>
      </c>
      <c r="K223" s="90"/>
      <c r="L223" s="90"/>
      <c r="M223" s="90">
        <f t="shared" si="16"/>
        <v>41.91</v>
      </c>
      <c r="N223" s="90"/>
      <c r="O223" s="90"/>
      <c r="P223" s="90" t="str">
        <f t="shared" si="17"/>
        <v/>
      </c>
      <c r="Q223" s="90"/>
      <c r="R223" s="90"/>
      <c r="S223" s="90" t="str">
        <f t="shared" si="18"/>
        <v/>
      </c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</row>
    <row r="224" spans="1:32" ht="24.95" customHeight="1" x14ac:dyDescent="0.25">
      <c r="A224" s="89">
        <f t="shared" si="19"/>
        <v>221</v>
      </c>
      <c r="B224" s="50" t="s">
        <v>681</v>
      </c>
      <c r="C224" s="50" t="s">
        <v>1066</v>
      </c>
      <c r="D224" s="90" t="s">
        <v>1067</v>
      </c>
      <c r="E224" s="90" t="s">
        <v>1068</v>
      </c>
      <c r="F224" s="50" t="s">
        <v>1069</v>
      </c>
      <c r="G224" s="90" t="s">
        <v>689</v>
      </c>
      <c r="H224" s="90" t="s">
        <v>80</v>
      </c>
      <c r="I224" s="90"/>
      <c r="J224" s="90" t="e">
        <f t="shared" si="15"/>
        <v>#N/A</v>
      </c>
      <c r="K224" s="90"/>
      <c r="L224" s="90"/>
      <c r="M224" s="90" t="e">
        <f t="shared" si="16"/>
        <v>#N/A</v>
      </c>
      <c r="N224" s="90"/>
      <c r="O224" s="90"/>
      <c r="P224" s="90" t="str">
        <f t="shared" si="17"/>
        <v/>
      </c>
      <c r="Q224" s="90"/>
      <c r="R224" s="90"/>
      <c r="S224" s="90" t="str">
        <f t="shared" si="18"/>
        <v/>
      </c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</row>
    <row r="225" spans="1:32" ht="24.95" customHeight="1" x14ac:dyDescent="0.25">
      <c r="A225" s="89">
        <f t="shared" si="19"/>
        <v>222</v>
      </c>
      <c r="B225" s="50" t="s">
        <v>681</v>
      </c>
      <c r="C225" s="50" t="s">
        <v>1070</v>
      </c>
      <c r="D225" s="90" t="s">
        <v>1071</v>
      </c>
      <c r="E225" s="90" t="s">
        <v>1072</v>
      </c>
      <c r="F225" s="50" t="s">
        <v>1073</v>
      </c>
      <c r="G225" s="90" t="s">
        <v>689</v>
      </c>
      <c r="H225" s="90" t="s">
        <v>80</v>
      </c>
      <c r="I225" s="90"/>
      <c r="J225" s="90" t="e">
        <f t="shared" si="15"/>
        <v>#N/A</v>
      </c>
      <c r="K225" s="90"/>
      <c r="L225" s="90"/>
      <c r="M225" s="90" t="e">
        <f t="shared" si="16"/>
        <v>#N/A</v>
      </c>
      <c r="N225" s="90"/>
      <c r="O225" s="90"/>
      <c r="P225" s="90" t="str">
        <f t="shared" si="17"/>
        <v/>
      </c>
      <c r="Q225" s="90"/>
      <c r="R225" s="90"/>
      <c r="S225" s="90" t="str">
        <f t="shared" si="18"/>
        <v/>
      </c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</row>
    <row r="226" spans="1:32" ht="24.95" customHeight="1" x14ac:dyDescent="0.25">
      <c r="A226" s="89">
        <f t="shared" si="19"/>
        <v>223</v>
      </c>
      <c r="B226" s="50" t="s">
        <v>681</v>
      </c>
      <c r="C226" s="50" t="s">
        <v>1070</v>
      </c>
      <c r="D226" s="90" t="s">
        <v>1074</v>
      </c>
      <c r="E226" s="90" t="s">
        <v>1075</v>
      </c>
      <c r="F226" s="50" t="s">
        <v>1076</v>
      </c>
      <c r="G226" s="90" t="s">
        <v>689</v>
      </c>
      <c r="H226" s="90" t="s">
        <v>80</v>
      </c>
      <c r="I226" s="90"/>
      <c r="J226" s="90" t="e">
        <f t="shared" si="15"/>
        <v>#N/A</v>
      </c>
      <c r="K226" s="90"/>
      <c r="L226" s="90"/>
      <c r="M226" s="90" t="e">
        <f t="shared" si="16"/>
        <v>#N/A</v>
      </c>
      <c r="N226" s="90"/>
      <c r="O226" s="90"/>
      <c r="P226" s="90" t="str">
        <f t="shared" si="17"/>
        <v/>
      </c>
      <c r="Q226" s="90"/>
      <c r="R226" s="90"/>
      <c r="S226" s="90" t="str">
        <f t="shared" si="18"/>
        <v/>
      </c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</row>
    <row r="227" spans="1:32" ht="24.95" customHeight="1" x14ac:dyDescent="0.25">
      <c r="A227" s="89">
        <f t="shared" si="19"/>
        <v>224</v>
      </c>
      <c r="B227" s="50" t="s">
        <v>1077</v>
      </c>
      <c r="C227" s="50" t="s">
        <v>416</v>
      </c>
      <c r="D227" s="90" t="s">
        <v>1078</v>
      </c>
      <c r="E227" s="90"/>
      <c r="F227" s="50" t="s">
        <v>416</v>
      </c>
      <c r="G227" s="90" t="s">
        <v>1079</v>
      </c>
      <c r="H227" s="90" t="s">
        <v>1080</v>
      </c>
      <c r="I227" s="90"/>
      <c r="J227" s="90">
        <f t="shared" si="15"/>
        <v>0</v>
      </c>
      <c r="K227" s="90"/>
      <c r="L227" s="90"/>
      <c r="M227" s="90">
        <f t="shared" si="16"/>
        <v>0</v>
      </c>
      <c r="N227" s="90"/>
      <c r="O227" s="90"/>
      <c r="P227" s="90" t="str">
        <f t="shared" si="17"/>
        <v/>
      </c>
      <c r="Q227" s="90"/>
      <c r="R227" s="90"/>
      <c r="S227" s="90" t="str">
        <f t="shared" si="18"/>
        <v/>
      </c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</row>
    <row r="228" spans="1:32" ht="24.95" customHeight="1" x14ac:dyDescent="0.25">
      <c r="A228" s="89">
        <f t="shared" si="19"/>
        <v>225</v>
      </c>
      <c r="B228" s="50" t="s">
        <v>1077</v>
      </c>
      <c r="C228" s="50" t="s">
        <v>1081</v>
      </c>
      <c r="D228" s="90" t="s">
        <v>1082</v>
      </c>
      <c r="E228" s="90"/>
      <c r="F228" s="50" t="s">
        <v>1081</v>
      </c>
      <c r="G228" s="90" t="s">
        <v>1079</v>
      </c>
      <c r="H228" s="90" t="s">
        <v>1080</v>
      </c>
      <c r="I228" s="90"/>
      <c r="J228" s="90" t="e">
        <f t="shared" si="15"/>
        <v>#N/A</v>
      </c>
      <c r="K228" s="90"/>
      <c r="L228" s="90"/>
      <c r="M228" s="90" t="e">
        <f t="shared" si="16"/>
        <v>#N/A</v>
      </c>
      <c r="N228" s="90"/>
      <c r="O228" s="90"/>
      <c r="P228" s="90" t="str">
        <f t="shared" si="17"/>
        <v/>
      </c>
      <c r="Q228" s="90"/>
      <c r="R228" s="90"/>
      <c r="S228" s="90" t="str">
        <f t="shared" si="18"/>
        <v/>
      </c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</row>
    <row r="229" spans="1:32" ht="24.95" customHeight="1" x14ac:dyDescent="0.25">
      <c r="A229" s="89">
        <f t="shared" si="19"/>
        <v>226</v>
      </c>
      <c r="B229" s="50" t="s">
        <v>1077</v>
      </c>
      <c r="C229" s="50" t="s">
        <v>420</v>
      </c>
      <c r="D229" s="90" t="s">
        <v>1083</v>
      </c>
      <c r="E229" s="90"/>
      <c r="F229" s="50" t="s">
        <v>420</v>
      </c>
      <c r="G229" s="90" t="s">
        <v>1079</v>
      </c>
      <c r="H229" s="90" t="s">
        <v>1080</v>
      </c>
      <c r="I229" s="90"/>
      <c r="J229" s="90">
        <f t="shared" si="15"/>
        <v>0</v>
      </c>
      <c r="K229" s="90"/>
      <c r="L229" s="90"/>
      <c r="M229" s="90">
        <f t="shared" si="16"/>
        <v>0</v>
      </c>
      <c r="N229" s="90"/>
      <c r="O229" s="90"/>
      <c r="P229" s="90" t="str">
        <f t="shared" si="17"/>
        <v/>
      </c>
      <c r="Q229" s="90"/>
      <c r="R229" s="90"/>
      <c r="S229" s="90" t="str">
        <f t="shared" si="18"/>
        <v/>
      </c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</row>
  </sheetData>
  <mergeCells count="28">
    <mergeCell ref="AG1:AG3"/>
    <mergeCell ref="W2:W3"/>
    <mergeCell ref="AA1:AA3"/>
    <mergeCell ref="A1:A3"/>
    <mergeCell ref="R2:T2"/>
    <mergeCell ref="H1:H3"/>
    <mergeCell ref="U1:Z1"/>
    <mergeCell ref="AC2:AC3"/>
    <mergeCell ref="L2:N2"/>
    <mergeCell ref="E1:E3"/>
    <mergeCell ref="B1:B3"/>
    <mergeCell ref="I2:K2"/>
    <mergeCell ref="C1:C3"/>
    <mergeCell ref="V2:V3"/>
    <mergeCell ref="X2:X3"/>
    <mergeCell ref="AB1:AD1"/>
    <mergeCell ref="D1:D3"/>
    <mergeCell ref="F1:F3"/>
    <mergeCell ref="Z2:Z3"/>
    <mergeCell ref="I1:T1"/>
    <mergeCell ref="AB2:AB3"/>
    <mergeCell ref="O2:Q2"/>
    <mergeCell ref="AE1:AE3"/>
    <mergeCell ref="AF1:AF3"/>
    <mergeCell ref="G1:G3"/>
    <mergeCell ref="U2:U3"/>
    <mergeCell ref="Y2:Y3"/>
    <mergeCell ref="AD2:AD3"/>
  </mergeCells>
  <dataValidations count="2">
    <dataValidation type="list" allowBlank="1" errorTitle="Invalid Line Number" error="Please select a valid Line Number" sqref="C4:C229" xr:uid="{00000000-0002-0000-0400-000000000000}">
      <formula1>LineNumbers</formula1>
    </dataValidation>
    <dataValidation type="list" allowBlank="1" errorTitle="Invalid Fluid" error="Please select a valid Fluid Category" sqref="H4:H229" xr:uid="{00000000-0002-0000-0400-000001000000}">
      <formula1>FluidCategories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64"/>
  <sheetViews>
    <sheetView tabSelected="1" topLeftCell="A223" workbookViewId="0">
      <selection activeCell="E8" sqref="E8"/>
    </sheetView>
  </sheetViews>
  <sheetFormatPr defaultRowHeight="24.95" customHeight="1" x14ac:dyDescent="0.25"/>
  <cols>
    <col min="1" max="1" width="7.85546875" style="80" customWidth="1"/>
    <col min="2" max="2" width="15.7109375" style="76" bestFit="1" customWidth="1"/>
    <col min="3" max="3" width="31.42578125" style="76" bestFit="1" customWidth="1"/>
    <col min="4" max="4" width="15.28515625" style="76" bestFit="1" customWidth="1"/>
    <col min="5" max="5" width="52.85546875" style="76" bestFit="1" customWidth="1"/>
    <col min="6" max="6" width="28.28515625" style="76" bestFit="1" customWidth="1"/>
    <col min="7" max="7" width="18.7109375" style="76" bestFit="1" customWidth="1"/>
    <col min="8" max="8" width="9.5703125" style="76" bestFit="1" customWidth="1"/>
    <col min="9" max="9" width="15.140625" style="76" bestFit="1" customWidth="1"/>
    <col min="10" max="10" width="12.85546875" style="76" customWidth="1"/>
    <col min="11" max="11" width="9.140625" style="76" customWidth="1"/>
    <col min="12" max="19" width="9.140625" style="76"/>
    <col min="20" max="20" width="12.5703125" style="76" customWidth="1"/>
    <col min="21" max="21" width="11.140625" style="76" customWidth="1"/>
    <col min="22" max="22" width="13.42578125" style="76" customWidth="1"/>
    <col min="23" max="16384" width="9.140625" style="76"/>
  </cols>
  <sheetData>
    <row r="1" spans="1:33" ht="24.95" customHeight="1" x14ac:dyDescent="0.25">
      <c r="A1" s="127" t="s">
        <v>422</v>
      </c>
      <c r="B1" s="127" t="s">
        <v>653</v>
      </c>
      <c r="C1" s="127" t="s">
        <v>1084</v>
      </c>
      <c r="D1" s="127" t="s">
        <v>1085</v>
      </c>
      <c r="E1" s="127" t="s">
        <v>1086</v>
      </c>
      <c r="F1" s="127" t="s">
        <v>1087</v>
      </c>
      <c r="G1" s="127" t="s">
        <v>1088</v>
      </c>
      <c r="H1" s="127" t="s">
        <v>1089</v>
      </c>
      <c r="I1" s="125" t="s">
        <v>424</v>
      </c>
      <c r="J1" s="128" t="s">
        <v>659</v>
      </c>
      <c r="K1" s="123"/>
      <c r="L1" s="123"/>
      <c r="M1" s="123"/>
      <c r="N1" s="123"/>
      <c r="O1" s="123"/>
      <c r="P1" s="123"/>
      <c r="Q1" s="123"/>
      <c r="R1" s="124"/>
      <c r="S1" s="128" t="s">
        <v>1090</v>
      </c>
      <c r="T1" s="120" t="s">
        <v>660</v>
      </c>
      <c r="U1" s="123"/>
      <c r="V1" s="123"/>
      <c r="W1" s="123"/>
      <c r="X1" s="123"/>
      <c r="Y1" s="123"/>
      <c r="Z1" s="123"/>
      <c r="AA1" s="124"/>
      <c r="AB1" s="120" t="s">
        <v>662</v>
      </c>
      <c r="AC1" s="123"/>
      <c r="AD1" s="124"/>
      <c r="AE1" s="120" t="s">
        <v>663</v>
      </c>
      <c r="AF1" s="120" t="s">
        <v>674</v>
      </c>
      <c r="AG1" s="126" t="s">
        <v>665</v>
      </c>
    </row>
    <row r="2" spans="1:33" ht="24.95" customHeight="1" x14ac:dyDescent="0.25">
      <c r="A2" s="121"/>
      <c r="B2" s="121"/>
      <c r="C2" s="121"/>
      <c r="D2" s="121"/>
      <c r="E2" s="121"/>
      <c r="F2" s="121"/>
      <c r="G2" s="121"/>
      <c r="H2" s="121"/>
      <c r="I2" s="121"/>
      <c r="J2" s="128" t="s">
        <v>1091</v>
      </c>
      <c r="K2" s="123"/>
      <c r="L2" s="124"/>
      <c r="M2" s="128" t="s">
        <v>667</v>
      </c>
      <c r="N2" s="123"/>
      <c r="O2" s="124"/>
      <c r="P2" s="128" t="s">
        <v>1092</v>
      </c>
      <c r="Q2" s="123"/>
      <c r="R2" s="124"/>
      <c r="S2" s="121"/>
      <c r="T2" s="120" t="s">
        <v>1093</v>
      </c>
      <c r="U2" s="120" t="s">
        <v>3</v>
      </c>
      <c r="V2" s="120" t="s">
        <v>671</v>
      </c>
      <c r="W2" s="120" t="s">
        <v>1094</v>
      </c>
      <c r="X2" s="120" t="s">
        <v>1095</v>
      </c>
      <c r="Y2" s="120" t="s">
        <v>1096</v>
      </c>
      <c r="Z2" s="120" t="s">
        <v>1097</v>
      </c>
      <c r="AA2" s="120" t="s">
        <v>1098</v>
      </c>
      <c r="AB2" s="120" t="s">
        <v>675</v>
      </c>
      <c r="AC2" s="120" t="s">
        <v>676</v>
      </c>
      <c r="AD2" s="120" t="s">
        <v>677</v>
      </c>
      <c r="AE2" s="121"/>
      <c r="AF2" s="121"/>
      <c r="AG2" s="129"/>
    </row>
    <row r="3" spans="1:33" ht="24.95" customHeight="1" x14ac:dyDescent="0.25">
      <c r="A3" s="119"/>
      <c r="B3" s="119"/>
      <c r="C3" s="119"/>
      <c r="D3" s="119"/>
      <c r="E3" s="119"/>
      <c r="F3" s="119"/>
      <c r="G3" s="119"/>
      <c r="H3" s="119"/>
      <c r="I3" s="119"/>
      <c r="J3" s="107" t="s">
        <v>678</v>
      </c>
      <c r="K3" s="108" t="s">
        <v>679</v>
      </c>
      <c r="L3" s="108" t="s">
        <v>680</v>
      </c>
      <c r="M3" s="107" t="s">
        <v>678</v>
      </c>
      <c r="N3" s="108" t="s">
        <v>679</v>
      </c>
      <c r="O3" s="107" t="s">
        <v>680</v>
      </c>
      <c r="P3" s="107" t="s">
        <v>678</v>
      </c>
      <c r="Q3" s="108" t="s">
        <v>679</v>
      </c>
      <c r="R3" s="107" t="s">
        <v>680</v>
      </c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30"/>
    </row>
    <row r="4" spans="1:33" ht="24.95" customHeight="1" x14ac:dyDescent="0.25">
      <c r="A4" s="77">
        <v>1</v>
      </c>
      <c r="B4" s="78" t="s">
        <v>681</v>
      </c>
      <c r="C4" s="78" t="str">
        <f>'LIST OF LINES'!$B$4</f>
        <v>200-40-SS-SW-01</v>
      </c>
      <c r="D4" s="78" t="s">
        <v>683</v>
      </c>
      <c r="E4" s="78" t="s">
        <v>1099</v>
      </c>
      <c r="F4" s="78" t="s">
        <v>1100</v>
      </c>
      <c r="G4" s="78" t="s">
        <v>1101</v>
      </c>
      <c r="H4" s="78" t="s">
        <v>1102</v>
      </c>
      <c r="I4" s="78" t="s">
        <v>437</v>
      </c>
      <c r="J4" s="78"/>
      <c r="K4" s="78">
        <f t="shared" ref="K4:K67" si="0">IFERROR(INDEX(Pressures_bar,MATCH(INDEX(LOL_LineTags,MATCH(C4,LOL_LineNumbers,0)),LineTags,0)),IFERROR(INDEX(LOE_Pressures,MATCH(C4,LOE_EquipNames,0))/1000,INDEX(LOE_Pressures,MATCH(C4,LOE_EquipTags,0))/1000))</f>
        <v>1</v>
      </c>
      <c r="L4" s="78"/>
      <c r="M4" s="78"/>
      <c r="N4" s="78">
        <f t="shared" ref="N4:N67" si="1">IFERROR(INDEX(Temperatures,MATCH(INDEX(LOL_LineTags,MATCH(C4,LOL_LineNumbers,0)),LineTags,0)),IFERROR(INDEX(LOE_Temperatures,MATCH(C4,LOE_EquipNames,0)),INDEX(LOE_Temperatures,MATCH(C4,LOE_EquipTags,0))))</f>
        <v>30</v>
      </c>
      <c r="O4" s="78"/>
      <c r="P4" s="78"/>
      <c r="Q4" s="78">
        <f t="shared" ref="Q4:Q67" si="2">IFERROR(INDEX(FlowRates_kghr,MATCH(INDEX(LOL_LineTags,MATCH(C4,LOL_LineNumbers,0)),LineTags,0))/INDEX(Densities,MATCH(INDEX(LOL_LineTags,MATCH(C4,LOL_LineNumbers,0)),LineTags,0)),"")</f>
        <v>112.55943656576838</v>
      </c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</row>
    <row r="5" spans="1:33" ht="24.95" customHeight="1" x14ac:dyDescent="0.25">
      <c r="A5" s="77">
        <f t="shared" ref="A5:A68" si="3">A4+1</f>
        <v>2</v>
      </c>
      <c r="B5" s="78" t="s">
        <v>681</v>
      </c>
      <c r="C5" s="78" t="str">
        <f>'LIST OF LINES'!$B$4</f>
        <v>200-40-SS-SW-01</v>
      </c>
      <c r="D5" s="78" t="s">
        <v>1103</v>
      </c>
      <c r="E5" s="78" t="s">
        <v>1104</v>
      </c>
      <c r="F5" s="78" t="s">
        <v>1105</v>
      </c>
      <c r="G5" s="78" t="s">
        <v>1106</v>
      </c>
      <c r="H5" s="78" t="s">
        <v>1107</v>
      </c>
      <c r="I5" s="78" t="s">
        <v>437</v>
      </c>
      <c r="J5" s="78"/>
      <c r="K5" s="78">
        <f t="shared" si="0"/>
        <v>1</v>
      </c>
      <c r="L5" s="78"/>
      <c r="M5" s="78"/>
      <c r="N5" s="78">
        <f t="shared" si="1"/>
        <v>30</v>
      </c>
      <c r="O5" s="78"/>
      <c r="P5" s="78"/>
      <c r="Q5" s="78">
        <f t="shared" si="2"/>
        <v>112.55943656576838</v>
      </c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</row>
    <row r="6" spans="1:33" ht="24.95" customHeight="1" x14ac:dyDescent="0.25">
      <c r="A6" s="77">
        <f t="shared" si="3"/>
        <v>3</v>
      </c>
      <c r="B6" s="78" t="s">
        <v>681</v>
      </c>
      <c r="C6" s="78" t="str">
        <f>'LIST OF LINES'!$B$4</f>
        <v>200-40-SS-SW-01</v>
      </c>
      <c r="D6" s="78" t="s">
        <v>1108</v>
      </c>
      <c r="E6" s="78" t="s">
        <v>1109</v>
      </c>
      <c r="F6" s="78" t="s">
        <v>1105</v>
      </c>
      <c r="G6" s="78" t="s">
        <v>1106</v>
      </c>
      <c r="H6" s="78" t="s">
        <v>1107</v>
      </c>
      <c r="I6" s="78" t="s">
        <v>437</v>
      </c>
      <c r="J6" s="78"/>
      <c r="K6" s="78">
        <f t="shared" si="0"/>
        <v>1</v>
      </c>
      <c r="L6" s="78"/>
      <c r="M6" s="78"/>
      <c r="N6" s="78">
        <f t="shared" si="1"/>
        <v>30</v>
      </c>
      <c r="O6" s="78"/>
      <c r="P6" s="78"/>
      <c r="Q6" s="78">
        <f t="shared" si="2"/>
        <v>112.55943656576838</v>
      </c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</row>
    <row r="7" spans="1:33" ht="24.95" customHeight="1" x14ac:dyDescent="0.25">
      <c r="A7" s="77">
        <f t="shared" si="3"/>
        <v>4</v>
      </c>
      <c r="B7" s="78" t="s">
        <v>681</v>
      </c>
      <c r="C7" s="78" t="str">
        <f>'LIST OF LINES'!$B$4</f>
        <v>200-40-SS-SW-01</v>
      </c>
      <c r="D7" s="78" t="s">
        <v>1110</v>
      </c>
      <c r="E7" s="78" t="s">
        <v>1111</v>
      </c>
      <c r="F7" s="78" t="s">
        <v>1100</v>
      </c>
      <c r="G7" s="78" t="s">
        <v>1106</v>
      </c>
      <c r="H7" s="78" t="s">
        <v>1102</v>
      </c>
      <c r="I7" s="78" t="s">
        <v>437</v>
      </c>
      <c r="J7" s="78"/>
      <c r="K7" s="78">
        <f t="shared" si="0"/>
        <v>1</v>
      </c>
      <c r="L7" s="78"/>
      <c r="M7" s="78"/>
      <c r="N7" s="78">
        <f t="shared" si="1"/>
        <v>30</v>
      </c>
      <c r="O7" s="78"/>
      <c r="P7" s="78"/>
      <c r="Q7" s="78">
        <f t="shared" si="2"/>
        <v>112.55943656576838</v>
      </c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</row>
    <row r="8" spans="1:33" ht="24.95" customHeight="1" x14ac:dyDescent="0.25">
      <c r="A8" s="77">
        <f t="shared" si="3"/>
        <v>5</v>
      </c>
      <c r="B8" s="78" t="s">
        <v>681</v>
      </c>
      <c r="C8" s="78" t="str">
        <f>'LIST OF LINES'!$B$4</f>
        <v>200-40-SS-SW-01</v>
      </c>
      <c r="D8" s="78" t="s">
        <v>1112</v>
      </c>
      <c r="E8" s="78" t="s">
        <v>1113</v>
      </c>
      <c r="F8" s="78" t="s">
        <v>1100</v>
      </c>
      <c r="G8" s="78" t="s">
        <v>1106</v>
      </c>
      <c r="H8" s="78" t="s">
        <v>1102</v>
      </c>
      <c r="I8" s="78" t="s">
        <v>437</v>
      </c>
      <c r="J8" s="78"/>
      <c r="K8" s="78">
        <f t="shared" si="0"/>
        <v>1</v>
      </c>
      <c r="L8" s="78"/>
      <c r="M8" s="78"/>
      <c r="N8" s="78">
        <f t="shared" si="1"/>
        <v>30</v>
      </c>
      <c r="O8" s="78"/>
      <c r="P8" s="78"/>
      <c r="Q8" s="78">
        <f t="shared" si="2"/>
        <v>112.55943656576838</v>
      </c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</row>
    <row r="9" spans="1:33" ht="24.95" customHeight="1" x14ac:dyDescent="0.25">
      <c r="A9" s="77">
        <f t="shared" si="3"/>
        <v>6</v>
      </c>
      <c r="B9" s="78" t="s">
        <v>681</v>
      </c>
      <c r="C9" s="78" t="str">
        <f>'LIST OF LINES'!$B$5</f>
        <v>200-40-SS-SW-02</v>
      </c>
      <c r="D9" s="78" t="s">
        <v>687</v>
      </c>
      <c r="E9" s="78" t="s">
        <v>686</v>
      </c>
      <c r="F9" s="78" t="s">
        <v>1100</v>
      </c>
      <c r="G9" s="78" t="s">
        <v>1101</v>
      </c>
      <c r="H9" s="78" t="s">
        <v>1102</v>
      </c>
      <c r="I9" s="78" t="s">
        <v>437</v>
      </c>
      <c r="J9" s="78"/>
      <c r="K9" s="78">
        <f t="shared" si="0"/>
        <v>3.5</v>
      </c>
      <c r="L9" s="78"/>
      <c r="M9" s="78"/>
      <c r="N9" s="78">
        <f t="shared" si="1"/>
        <v>30.086198338280042</v>
      </c>
      <c r="O9" s="78"/>
      <c r="P9" s="78"/>
      <c r="Q9" s="78">
        <f t="shared" si="2"/>
        <v>112.54998996851032</v>
      </c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</row>
    <row r="10" spans="1:33" ht="24.95" customHeight="1" x14ac:dyDescent="0.25">
      <c r="A10" s="77">
        <f t="shared" si="3"/>
        <v>7</v>
      </c>
      <c r="B10" s="78" t="s">
        <v>681</v>
      </c>
      <c r="C10" s="78" t="str">
        <f>'LIST OF LINES'!$B$5</f>
        <v>200-40-SS-SW-02</v>
      </c>
      <c r="D10" s="78" t="s">
        <v>691</v>
      </c>
      <c r="E10" s="78" t="s">
        <v>690</v>
      </c>
      <c r="F10" s="78" t="s">
        <v>1100</v>
      </c>
      <c r="G10" s="78" t="s">
        <v>1101</v>
      </c>
      <c r="H10" s="78" t="s">
        <v>1102</v>
      </c>
      <c r="I10" s="78" t="s">
        <v>437</v>
      </c>
      <c r="J10" s="78"/>
      <c r="K10" s="78">
        <f t="shared" si="0"/>
        <v>3.5</v>
      </c>
      <c r="L10" s="78"/>
      <c r="M10" s="78"/>
      <c r="N10" s="78">
        <f t="shared" si="1"/>
        <v>30.086198338280042</v>
      </c>
      <c r="O10" s="78"/>
      <c r="P10" s="78"/>
      <c r="Q10" s="78">
        <f t="shared" si="2"/>
        <v>112.54998996851032</v>
      </c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</row>
    <row r="11" spans="1:33" ht="24.95" customHeight="1" x14ac:dyDescent="0.25">
      <c r="A11" s="77">
        <f t="shared" si="3"/>
        <v>8</v>
      </c>
      <c r="B11" s="78" t="s">
        <v>681</v>
      </c>
      <c r="C11" s="78" t="str">
        <f>'LIST OF LINES'!$B$5</f>
        <v>200-40-SS-SW-02</v>
      </c>
      <c r="D11" s="78" t="s">
        <v>1114</v>
      </c>
      <c r="E11" s="78" t="s">
        <v>1115</v>
      </c>
      <c r="F11" s="78" t="s">
        <v>1116</v>
      </c>
      <c r="G11" s="78" t="s">
        <v>1106</v>
      </c>
      <c r="H11" s="78" t="s">
        <v>1107</v>
      </c>
      <c r="I11" s="78" t="s">
        <v>437</v>
      </c>
      <c r="J11" s="78"/>
      <c r="K11" s="78">
        <f t="shared" si="0"/>
        <v>3.5</v>
      </c>
      <c r="L11" s="78"/>
      <c r="M11" s="78"/>
      <c r="N11" s="78">
        <f t="shared" si="1"/>
        <v>30.086198338280042</v>
      </c>
      <c r="O11" s="78"/>
      <c r="P11" s="78"/>
      <c r="Q11" s="78">
        <f t="shared" si="2"/>
        <v>112.54998996851032</v>
      </c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</row>
    <row r="12" spans="1:33" ht="24.95" customHeight="1" x14ac:dyDescent="0.25">
      <c r="A12" s="77">
        <f t="shared" si="3"/>
        <v>9</v>
      </c>
      <c r="B12" s="78" t="s">
        <v>681</v>
      </c>
      <c r="C12" s="78" t="str">
        <f>'LIST OF LINES'!$B$5</f>
        <v>200-40-SS-SW-02</v>
      </c>
      <c r="D12" s="78" t="s">
        <v>1117</v>
      </c>
      <c r="E12" s="78" t="s">
        <v>1118</v>
      </c>
      <c r="F12" s="78" t="s">
        <v>1116</v>
      </c>
      <c r="G12" s="78" t="s">
        <v>1106</v>
      </c>
      <c r="H12" s="78" t="s">
        <v>1107</v>
      </c>
      <c r="I12" s="78" t="s">
        <v>437</v>
      </c>
      <c r="J12" s="78"/>
      <c r="K12" s="78">
        <f t="shared" si="0"/>
        <v>3.5</v>
      </c>
      <c r="L12" s="78"/>
      <c r="M12" s="78"/>
      <c r="N12" s="78">
        <f t="shared" si="1"/>
        <v>30.086198338280042</v>
      </c>
      <c r="O12" s="78"/>
      <c r="P12" s="78"/>
      <c r="Q12" s="78">
        <f t="shared" si="2"/>
        <v>112.54998996851032</v>
      </c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 spans="1:33" ht="24.95" customHeight="1" x14ac:dyDescent="0.25">
      <c r="A13" s="77">
        <f t="shared" si="3"/>
        <v>10</v>
      </c>
      <c r="B13" s="78" t="s">
        <v>681</v>
      </c>
      <c r="C13" s="78" t="str">
        <f>'LIST OF LINES'!$B$5</f>
        <v>200-40-SS-SW-02</v>
      </c>
      <c r="D13" s="78" t="s">
        <v>1119</v>
      </c>
      <c r="E13" s="78" t="s">
        <v>1115</v>
      </c>
      <c r="F13" s="78" t="s">
        <v>1100</v>
      </c>
      <c r="G13" s="78" t="s">
        <v>1106</v>
      </c>
      <c r="H13" s="78" t="s">
        <v>1107</v>
      </c>
      <c r="I13" s="78" t="s">
        <v>437</v>
      </c>
      <c r="J13" s="78"/>
      <c r="K13" s="78">
        <f t="shared" si="0"/>
        <v>3.5</v>
      </c>
      <c r="L13" s="78"/>
      <c r="M13" s="78"/>
      <c r="N13" s="78">
        <f t="shared" si="1"/>
        <v>30.086198338280042</v>
      </c>
      <c r="O13" s="78"/>
      <c r="P13" s="78"/>
      <c r="Q13" s="78">
        <f t="shared" si="2"/>
        <v>112.54998996851032</v>
      </c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</row>
    <row r="14" spans="1:33" ht="24.95" customHeight="1" x14ac:dyDescent="0.25">
      <c r="A14" s="77">
        <f t="shared" si="3"/>
        <v>11</v>
      </c>
      <c r="B14" s="78" t="s">
        <v>681</v>
      </c>
      <c r="C14" s="78" t="str">
        <f>'LIST OF LINES'!$B$5</f>
        <v>200-40-SS-SW-02</v>
      </c>
      <c r="D14" s="78" t="s">
        <v>1120</v>
      </c>
      <c r="E14" s="78" t="s">
        <v>1118</v>
      </c>
      <c r="F14" s="78" t="s">
        <v>1100</v>
      </c>
      <c r="G14" s="78" t="s">
        <v>1106</v>
      </c>
      <c r="H14" s="78" t="s">
        <v>1107</v>
      </c>
      <c r="I14" s="78" t="s">
        <v>437</v>
      </c>
      <c r="J14" s="78"/>
      <c r="K14" s="78">
        <f t="shared" si="0"/>
        <v>3.5</v>
      </c>
      <c r="L14" s="78"/>
      <c r="M14" s="78"/>
      <c r="N14" s="78">
        <f t="shared" si="1"/>
        <v>30.086198338280042</v>
      </c>
      <c r="O14" s="78"/>
      <c r="P14" s="78"/>
      <c r="Q14" s="78">
        <f t="shared" si="2"/>
        <v>112.54998996851032</v>
      </c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</row>
    <row r="15" spans="1:33" ht="24.95" customHeight="1" x14ac:dyDescent="0.25">
      <c r="A15" s="77">
        <f t="shared" si="3"/>
        <v>12</v>
      </c>
      <c r="B15" s="101" t="s">
        <v>681</v>
      </c>
      <c r="C15" s="78" t="str">
        <f>'LIST OF LINES'!$B$5</f>
        <v>200-40-SS-SW-02</v>
      </c>
      <c r="D15" s="78" t="s">
        <v>694</v>
      </c>
      <c r="E15" s="78" t="s">
        <v>693</v>
      </c>
      <c r="F15" s="78" t="s">
        <v>1100</v>
      </c>
      <c r="G15" s="78" t="s">
        <v>1101</v>
      </c>
      <c r="H15" s="78" t="s">
        <v>1102</v>
      </c>
      <c r="I15" s="78" t="s">
        <v>437</v>
      </c>
      <c r="J15" s="78"/>
      <c r="K15" s="78">
        <f t="shared" si="0"/>
        <v>3.5</v>
      </c>
      <c r="L15" s="78"/>
      <c r="M15" s="78"/>
      <c r="N15" s="78">
        <f t="shared" si="1"/>
        <v>30.086198338280042</v>
      </c>
      <c r="O15" s="78"/>
      <c r="P15" s="78"/>
      <c r="Q15" s="78">
        <f t="shared" si="2"/>
        <v>112.54998996851032</v>
      </c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</row>
    <row r="16" spans="1:33" ht="24.95" customHeight="1" x14ac:dyDescent="0.25">
      <c r="A16" s="77">
        <f t="shared" si="3"/>
        <v>13</v>
      </c>
      <c r="B16" s="101" t="s">
        <v>681</v>
      </c>
      <c r="C16" s="78" t="str">
        <f>'LIST OF LINES'!$B$5</f>
        <v>200-40-SS-SW-02</v>
      </c>
      <c r="D16" s="78" t="s">
        <v>698</v>
      </c>
      <c r="E16" s="78" t="s">
        <v>697</v>
      </c>
      <c r="F16" s="78" t="s">
        <v>1100</v>
      </c>
      <c r="G16" s="78" t="s">
        <v>1101</v>
      </c>
      <c r="H16" s="78" t="s">
        <v>1102</v>
      </c>
      <c r="I16" s="78" t="s">
        <v>437</v>
      </c>
      <c r="J16" s="78"/>
      <c r="K16" s="78">
        <f t="shared" si="0"/>
        <v>3.5</v>
      </c>
      <c r="L16" s="78"/>
      <c r="M16" s="78"/>
      <c r="N16" s="78">
        <f t="shared" si="1"/>
        <v>30.086198338280042</v>
      </c>
      <c r="O16" s="78"/>
      <c r="P16" s="78"/>
      <c r="Q16" s="78">
        <f t="shared" si="2"/>
        <v>112.54998996851032</v>
      </c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</row>
    <row r="17" spans="1:32" ht="24.95" customHeight="1" x14ac:dyDescent="0.25">
      <c r="A17" s="77">
        <f t="shared" si="3"/>
        <v>14</v>
      </c>
      <c r="B17" s="101" t="s">
        <v>681</v>
      </c>
      <c r="C17" s="78" t="str">
        <f>'LIST OF LINES'!$B$5</f>
        <v>200-40-SS-SW-02</v>
      </c>
      <c r="D17" s="78" t="s">
        <v>709</v>
      </c>
      <c r="E17" s="78" t="s">
        <v>708</v>
      </c>
      <c r="F17" s="78" t="s">
        <v>1100</v>
      </c>
      <c r="G17" s="78" t="s">
        <v>1101</v>
      </c>
      <c r="H17" s="78" t="s">
        <v>1102</v>
      </c>
      <c r="I17" s="78" t="s">
        <v>437</v>
      </c>
      <c r="J17" s="78"/>
      <c r="K17" s="78">
        <f t="shared" si="0"/>
        <v>3.5</v>
      </c>
      <c r="L17" s="78"/>
      <c r="M17" s="78"/>
      <c r="N17" s="78">
        <f t="shared" si="1"/>
        <v>30.086198338280042</v>
      </c>
      <c r="O17" s="78"/>
      <c r="P17" s="78"/>
      <c r="Q17" s="78">
        <f t="shared" si="2"/>
        <v>112.54998996851032</v>
      </c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</row>
    <row r="18" spans="1:32" ht="24.95" customHeight="1" x14ac:dyDescent="0.25">
      <c r="A18" s="77">
        <f t="shared" si="3"/>
        <v>15</v>
      </c>
      <c r="B18" s="101" t="s">
        <v>681</v>
      </c>
      <c r="C18" s="78" t="str">
        <f>'LIST OF LINES'!B7</f>
        <v>100-40-SS-SW-04</v>
      </c>
      <c r="D18" s="78" t="s">
        <v>712</v>
      </c>
      <c r="E18" s="78" t="s">
        <v>711</v>
      </c>
      <c r="F18" s="78" t="s">
        <v>1100</v>
      </c>
      <c r="G18" s="78" t="s">
        <v>1101</v>
      </c>
      <c r="H18" s="78" t="s">
        <v>1102</v>
      </c>
      <c r="I18" s="78" t="s">
        <v>437</v>
      </c>
      <c r="J18" s="78"/>
      <c r="K18" s="78">
        <f t="shared" si="0"/>
        <v>3.5</v>
      </c>
      <c r="L18" s="78"/>
      <c r="M18" s="78"/>
      <c r="N18" s="78">
        <f t="shared" si="1"/>
        <v>36</v>
      </c>
      <c r="O18" s="78"/>
      <c r="P18" s="78"/>
      <c r="Q18" s="78">
        <f t="shared" si="2"/>
        <v>39.32312335171671</v>
      </c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</row>
    <row r="19" spans="1:32" ht="24.95" customHeight="1" x14ac:dyDescent="0.25">
      <c r="A19" s="77">
        <f t="shared" si="3"/>
        <v>16</v>
      </c>
      <c r="B19" s="101" t="s">
        <v>716</v>
      </c>
      <c r="C19" s="78" t="str">
        <f>'LIST OF LINES'!B8</f>
        <v>65-40-SS-SW-05</v>
      </c>
      <c r="D19" s="78" t="s">
        <v>1121</v>
      </c>
      <c r="E19" s="78" t="s">
        <v>1122</v>
      </c>
      <c r="F19" s="78" t="s">
        <v>1123</v>
      </c>
      <c r="G19" s="78" t="s">
        <v>1106</v>
      </c>
      <c r="H19" s="78" t="s">
        <v>1124</v>
      </c>
      <c r="I19" s="78" t="s">
        <v>437</v>
      </c>
      <c r="J19" s="78"/>
      <c r="K19" s="78">
        <f t="shared" si="0"/>
        <v>3.5</v>
      </c>
      <c r="L19" s="78"/>
      <c r="M19" s="78"/>
      <c r="N19" s="78">
        <f t="shared" si="1"/>
        <v>36</v>
      </c>
      <c r="O19" s="78"/>
      <c r="P19" s="78"/>
      <c r="Q19" s="78">
        <f t="shared" si="2"/>
        <v>13.107707783905571</v>
      </c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</row>
    <row r="20" spans="1:32" ht="24.95" customHeight="1" x14ac:dyDescent="0.25">
      <c r="A20" s="77">
        <f t="shared" si="3"/>
        <v>17</v>
      </c>
      <c r="B20" s="101" t="s">
        <v>716</v>
      </c>
      <c r="C20" s="78" t="str">
        <f>'LIST OF LINES'!B9</f>
        <v>65-40-SS-SW-06</v>
      </c>
      <c r="D20" s="78" t="s">
        <v>1125</v>
      </c>
      <c r="E20" s="78" t="s">
        <v>1126</v>
      </c>
      <c r="F20" s="78" t="s">
        <v>1123</v>
      </c>
      <c r="G20" s="78" t="s">
        <v>1106</v>
      </c>
      <c r="H20" s="78" t="s">
        <v>1124</v>
      </c>
      <c r="I20" s="78" t="s">
        <v>437</v>
      </c>
      <c r="J20" s="78"/>
      <c r="K20" s="78">
        <f t="shared" si="0"/>
        <v>3.5</v>
      </c>
      <c r="L20" s="78"/>
      <c r="M20" s="78"/>
      <c r="N20" s="78">
        <f t="shared" si="1"/>
        <v>36</v>
      </c>
      <c r="O20" s="78"/>
      <c r="P20" s="78"/>
      <c r="Q20" s="78">
        <f t="shared" si="2"/>
        <v>13.107707783905571</v>
      </c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</row>
    <row r="21" spans="1:32" ht="24.95" customHeight="1" x14ac:dyDescent="0.25">
      <c r="A21" s="77">
        <f t="shared" si="3"/>
        <v>18</v>
      </c>
      <c r="B21" s="101" t="s">
        <v>716</v>
      </c>
      <c r="C21" s="78" t="str">
        <f>'LIST OF LINES'!B10</f>
        <v>65-40-SS-SW-07</v>
      </c>
      <c r="D21" s="78" t="s">
        <v>1127</v>
      </c>
      <c r="E21" s="78" t="s">
        <v>1128</v>
      </c>
      <c r="F21" s="78" t="s">
        <v>1123</v>
      </c>
      <c r="G21" s="78" t="s">
        <v>1106</v>
      </c>
      <c r="H21" s="78" t="s">
        <v>1124</v>
      </c>
      <c r="I21" s="78" t="s">
        <v>437</v>
      </c>
      <c r="J21" s="78"/>
      <c r="K21" s="78">
        <f t="shared" si="0"/>
        <v>3.5</v>
      </c>
      <c r="L21" s="78"/>
      <c r="M21" s="78"/>
      <c r="N21" s="78">
        <f t="shared" si="1"/>
        <v>36</v>
      </c>
      <c r="O21" s="78"/>
      <c r="P21" s="78"/>
      <c r="Q21" s="78">
        <f t="shared" si="2"/>
        <v>13.107707783905571</v>
      </c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</row>
    <row r="22" spans="1:32" ht="24.95" customHeight="1" x14ac:dyDescent="0.25">
      <c r="A22" s="77">
        <f t="shared" si="3"/>
        <v>19</v>
      </c>
      <c r="B22" s="101" t="s">
        <v>681</v>
      </c>
      <c r="C22" s="78" t="str">
        <f>'LIST OF LINES'!B12</f>
        <v>100-40-SS-SW-09</v>
      </c>
      <c r="D22" s="78" t="s">
        <v>731</v>
      </c>
      <c r="E22" s="78" t="s">
        <v>730</v>
      </c>
      <c r="F22" s="78" t="s">
        <v>1100</v>
      </c>
      <c r="G22" s="78" t="s">
        <v>1101</v>
      </c>
      <c r="H22" s="78" t="s">
        <v>1102</v>
      </c>
      <c r="I22" s="78" t="s">
        <v>437</v>
      </c>
      <c r="J22" s="78"/>
      <c r="K22" s="78">
        <f t="shared" si="0"/>
        <v>3.5</v>
      </c>
      <c r="L22" s="78"/>
      <c r="M22" s="78"/>
      <c r="N22" s="78">
        <f t="shared" si="1"/>
        <v>36.450000000000003</v>
      </c>
      <c r="O22" s="78"/>
      <c r="P22" s="78"/>
      <c r="Q22" s="78">
        <f t="shared" si="2"/>
        <v>34.722966455899687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</row>
    <row r="23" spans="1:32" ht="24.95" customHeight="1" x14ac:dyDescent="0.25">
      <c r="A23" s="77">
        <f t="shared" si="3"/>
        <v>20</v>
      </c>
      <c r="B23" s="101" t="s">
        <v>716</v>
      </c>
      <c r="C23" s="78" t="str">
        <f>'LIST OF LINES'!B13</f>
        <v>65-40-SS-SW-10</v>
      </c>
      <c r="D23" s="78" t="s">
        <v>1129</v>
      </c>
      <c r="E23" s="78" t="s">
        <v>1130</v>
      </c>
      <c r="F23" s="78" t="s">
        <v>1123</v>
      </c>
      <c r="G23" s="78" t="s">
        <v>1106</v>
      </c>
      <c r="H23" s="78" t="s">
        <v>1124</v>
      </c>
      <c r="I23" s="78" t="s">
        <v>437</v>
      </c>
      <c r="J23" s="78"/>
      <c r="K23" s="78">
        <f t="shared" si="0"/>
        <v>3.5</v>
      </c>
      <c r="L23" s="78"/>
      <c r="M23" s="78"/>
      <c r="N23" s="78">
        <f t="shared" si="1"/>
        <v>36.450000000000003</v>
      </c>
      <c r="O23" s="78"/>
      <c r="P23" s="78"/>
      <c r="Q23" s="78">
        <f t="shared" si="2"/>
        <v>11.574322151966562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</row>
    <row r="24" spans="1:32" ht="24.95" customHeight="1" x14ac:dyDescent="0.25">
      <c r="A24" s="77">
        <f t="shared" si="3"/>
        <v>21</v>
      </c>
      <c r="B24" s="101" t="s">
        <v>716</v>
      </c>
      <c r="C24" s="78" t="str">
        <f>'LIST OF LINES'!B14</f>
        <v>65-40-SS-SW-11</v>
      </c>
      <c r="D24" s="78" t="s">
        <v>1131</v>
      </c>
      <c r="E24" s="78" t="s">
        <v>1132</v>
      </c>
      <c r="F24" s="78" t="s">
        <v>1123</v>
      </c>
      <c r="G24" s="78" t="s">
        <v>1106</v>
      </c>
      <c r="H24" s="78" t="s">
        <v>1124</v>
      </c>
      <c r="I24" s="78" t="s">
        <v>437</v>
      </c>
      <c r="J24" s="78"/>
      <c r="K24" s="78">
        <f t="shared" si="0"/>
        <v>3.5</v>
      </c>
      <c r="L24" s="78"/>
      <c r="M24" s="78"/>
      <c r="N24" s="78">
        <f t="shared" si="1"/>
        <v>36.450000000000003</v>
      </c>
      <c r="O24" s="78"/>
      <c r="P24" s="78"/>
      <c r="Q24" s="78">
        <f t="shared" si="2"/>
        <v>11.574322151966562</v>
      </c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</row>
    <row r="25" spans="1:32" ht="24.95" customHeight="1" x14ac:dyDescent="0.25">
      <c r="A25" s="77">
        <f t="shared" si="3"/>
        <v>22</v>
      </c>
      <c r="B25" s="101" t="s">
        <v>716</v>
      </c>
      <c r="C25" s="78" t="str">
        <f>'LIST OF LINES'!B15</f>
        <v>65-40-SS-SW-12</v>
      </c>
      <c r="D25" s="78" t="s">
        <v>1133</v>
      </c>
      <c r="E25" s="78" t="s">
        <v>1134</v>
      </c>
      <c r="F25" s="78" t="s">
        <v>1123</v>
      </c>
      <c r="G25" s="78" t="s">
        <v>1106</v>
      </c>
      <c r="H25" s="78" t="s">
        <v>1124</v>
      </c>
      <c r="I25" s="78" t="s">
        <v>437</v>
      </c>
      <c r="J25" s="78"/>
      <c r="K25" s="78">
        <f t="shared" si="0"/>
        <v>3.5</v>
      </c>
      <c r="L25" s="78"/>
      <c r="M25" s="78"/>
      <c r="N25" s="78">
        <f t="shared" si="1"/>
        <v>36.450000000000003</v>
      </c>
      <c r="O25" s="78"/>
      <c r="P25" s="78"/>
      <c r="Q25" s="78">
        <f t="shared" si="2"/>
        <v>11.574322151966562</v>
      </c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</row>
    <row r="26" spans="1:32" ht="24.95" customHeight="1" x14ac:dyDescent="0.25">
      <c r="A26" s="77">
        <f t="shared" si="3"/>
        <v>23</v>
      </c>
      <c r="B26" s="101" t="s">
        <v>681</v>
      </c>
      <c r="C26" s="78" t="str">
        <f>'LIST OF LINES'!B17</f>
        <v>100-40-SS-SW-14</v>
      </c>
      <c r="D26" s="78" t="s">
        <v>748</v>
      </c>
      <c r="E26" s="78" t="s">
        <v>747</v>
      </c>
      <c r="F26" s="78" t="s">
        <v>1100</v>
      </c>
      <c r="G26" s="78" t="s">
        <v>1101</v>
      </c>
      <c r="H26" s="78" t="s">
        <v>1102</v>
      </c>
      <c r="I26" s="78" t="s">
        <v>437</v>
      </c>
      <c r="J26" s="78"/>
      <c r="K26" s="78">
        <f t="shared" si="0"/>
        <v>3.5</v>
      </c>
      <c r="L26" s="78"/>
      <c r="M26" s="78"/>
      <c r="N26" s="78">
        <f t="shared" si="1"/>
        <v>33.909379761997002</v>
      </c>
      <c r="O26" s="78"/>
      <c r="P26" s="78"/>
      <c r="Q26" s="78">
        <f t="shared" si="2"/>
        <v>38.581148851121334</v>
      </c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</row>
    <row r="27" spans="1:32" ht="24.95" customHeight="1" x14ac:dyDescent="0.25">
      <c r="A27" s="77">
        <f t="shared" si="3"/>
        <v>24</v>
      </c>
      <c r="B27" s="101" t="s">
        <v>716</v>
      </c>
      <c r="C27" s="78" t="str">
        <f>'LIST OF LINES'!B18</f>
        <v>65-40-SS-SW-15</v>
      </c>
      <c r="D27" s="78" t="s">
        <v>1135</v>
      </c>
      <c r="E27" s="78" t="s">
        <v>1136</v>
      </c>
      <c r="F27" s="78" t="s">
        <v>1123</v>
      </c>
      <c r="G27" s="78" t="s">
        <v>1106</v>
      </c>
      <c r="H27" s="78" t="s">
        <v>1124</v>
      </c>
      <c r="I27" s="78" t="s">
        <v>437</v>
      </c>
      <c r="J27" s="78"/>
      <c r="K27" s="78">
        <f t="shared" si="0"/>
        <v>3.5</v>
      </c>
      <c r="L27" s="78"/>
      <c r="M27" s="78"/>
      <c r="N27" s="78">
        <f t="shared" si="1"/>
        <v>33.909379761997002</v>
      </c>
      <c r="O27" s="78"/>
      <c r="P27" s="78"/>
      <c r="Q27" s="78">
        <f t="shared" si="2"/>
        <v>12.860382950373779</v>
      </c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</row>
    <row r="28" spans="1:32" ht="24.95" customHeight="1" x14ac:dyDescent="0.25">
      <c r="A28" s="77">
        <f t="shared" si="3"/>
        <v>25</v>
      </c>
      <c r="B28" s="101" t="s">
        <v>716</v>
      </c>
      <c r="C28" s="78" t="str">
        <f>'LIST OF LINES'!B19</f>
        <v>65-40-SS-SW-16</v>
      </c>
      <c r="D28" s="78" t="s">
        <v>1137</v>
      </c>
      <c r="E28" s="78" t="s">
        <v>1138</v>
      </c>
      <c r="F28" s="78" t="s">
        <v>1123</v>
      </c>
      <c r="G28" s="78" t="s">
        <v>1106</v>
      </c>
      <c r="H28" s="78" t="s">
        <v>1124</v>
      </c>
      <c r="I28" s="78" t="s">
        <v>437</v>
      </c>
      <c r="J28" s="78"/>
      <c r="K28" s="78">
        <f t="shared" si="0"/>
        <v>3.5</v>
      </c>
      <c r="L28" s="78"/>
      <c r="M28" s="78"/>
      <c r="N28" s="78">
        <f t="shared" si="1"/>
        <v>33.909379761997002</v>
      </c>
      <c r="O28" s="78"/>
      <c r="P28" s="78"/>
      <c r="Q28" s="78">
        <f t="shared" si="2"/>
        <v>12.860382950373779</v>
      </c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 spans="1:32" ht="24.95" customHeight="1" x14ac:dyDescent="0.25">
      <c r="A29" s="77">
        <f t="shared" si="3"/>
        <v>26</v>
      </c>
      <c r="B29" s="101" t="s">
        <v>716</v>
      </c>
      <c r="C29" s="78" t="str">
        <f>'LIST OF LINES'!B20</f>
        <v>65-40-SS-SW-17</v>
      </c>
      <c r="D29" s="78" t="s">
        <v>1139</v>
      </c>
      <c r="E29" s="78" t="s">
        <v>1140</v>
      </c>
      <c r="F29" s="78" t="s">
        <v>1123</v>
      </c>
      <c r="G29" s="78" t="s">
        <v>1106</v>
      </c>
      <c r="H29" s="78" t="s">
        <v>1124</v>
      </c>
      <c r="I29" s="78" t="s">
        <v>437</v>
      </c>
      <c r="J29" s="78"/>
      <c r="K29" s="78">
        <f t="shared" si="0"/>
        <v>3.5</v>
      </c>
      <c r="L29" s="78"/>
      <c r="M29" s="78"/>
      <c r="N29" s="78">
        <f t="shared" si="1"/>
        <v>33.909379761997002</v>
      </c>
      <c r="O29" s="78"/>
      <c r="P29" s="78"/>
      <c r="Q29" s="78">
        <f t="shared" si="2"/>
        <v>12.860382950373779</v>
      </c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</row>
    <row r="30" spans="1:32" ht="24.95" customHeight="1" x14ac:dyDescent="0.25">
      <c r="A30" s="77">
        <f t="shared" si="3"/>
        <v>27</v>
      </c>
      <c r="B30" s="78" t="s">
        <v>716</v>
      </c>
      <c r="C30" s="78" t="str">
        <f>LIST_OF_EQUIPMENT!$B$5</f>
        <v>MED - E1</v>
      </c>
      <c r="D30" s="78" t="s">
        <v>1141</v>
      </c>
      <c r="E30" s="78" t="s">
        <v>767</v>
      </c>
      <c r="F30" s="78" t="s">
        <v>1100</v>
      </c>
      <c r="G30" s="78" t="s">
        <v>1106</v>
      </c>
      <c r="H30" s="78" t="s">
        <v>1142</v>
      </c>
      <c r="I30" s="78" t="s">
        <v>456</v>
      </c>
      <c r="J30" s="78"/>
      <c r="K30" s="78">
        <f t="shared" si="0"/>
        <v>0.32045999999999997</v>
      </c>
      <c r="L30" s="78"/>
      <c r="M30" s="78"/>
      <c r="N30" s="78">
        <f t="shared" si="1"/>
        <v>70.599999999999994</v>
      </c>
      <c r="O30" s="78"/>
      <c r="P30" s="78"/>
      <c r="Q30" s="78" t="str">
        <f t="shared" si="2"/>
        <v/>
      </c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</row>
    <row r="31" spans="1:32" ht="24.95" customHeight="1" x14ac:dyDescent="0.25">
      <c r="A31" s="77">
        <f t="shared" si="3"/>
        <v>28</v>
      </c>
      <c r="B31" s="78" t="s">
        <v>716</v>
      </c>
      <c r="C31" s="78" t="str">
        <f>LIST_OF_EQUIPMENT!$B$5</f>
        <v>MED - E1</v>
      </c>
      <c r="D31" s="78" t="s">
        <v>1143</v>
      </c>
      <c r="E31" s="78" t="s">
        <v>767</v>
      </c>
      <c r="F31" s="78" t="s">
        <v>1100</v>
      </c>
      <c r="G31" s="78" t="s">
        <v>1106</v>
      </c>
      <c r="H31" s="78" t="s">
        <v>1142</v>
      </c>
      <c r="I31" s="78" t="s">
        <v>456</v>
      </c>
      <c r="J31" s="78"/>
      <c r="K31" s="78">
        <f t="shared" si="0"/>
        <v>0.32045999999999997</v>
      </c>
      <c r="L31" s="78"/>
      <c r="M31" s="78"/>
      <c r="N31" s="78">
        <f t="shared" si="1"/>
        <v>70.599999999999994</v>
      </c>
      <c r="O31" s="78"/>
      <c r="P31" s="78"/>
      <c r="Q31" s="78" t="str">
        <f t="shared" si="2"/>
        <v/>
      </c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</row>
    <row r="32" spans="1:32" ht="24.95" customHeight="1" x14ac:dyDescent="0.25">
      <c r="A32" s="77">
        <f t="shared" si="3"/>
        <v>29</v>
      </c>
      <c r="B32" s="78" t="s">
        <v>716</v>
      </c>
      <c r="C32" s="78" t="str">
        <f>LIST_OF_EQUIPMENT!$B$5</f>
        <v>MED - E1</v>
      </c>
      <c r="D32" s="78" t="s">
        <v>1144</v>
      </c>
      <c r="E32" s="78" t="s">
        <v>767</v>
      </c>
      <c r="F32" s="78" t="s">
        <v>1100</v>
      </c>
      <c r="G32" s="78" t="s">
        <v>1101</v>
      </c>
      <c r="H32" s="78" t="s">
        <v>1102</v>
      </c>
      <c r="I32" s="78" t="s">
        <v>456</v>
      </c>
      <c r="J32" s="78"/>
      <c r="K32" s="78">
        <f t="shared" si="0"/>
        <v>0.32045999999999997</v>
      </c>
      <c r="L32" s="78"/>
      <c r="M32" s="78"/>
      <c r="N32" s="78">
        <f t="shared" si="1"/>
        <v>70.599999999999994</v>
      </c>
      <c r="O32" s="78"/>
      <c r="P32" s="78"/>
      <c r="Q32" s="78" t="str">
        <f t="shared" si="2"/>
        <v/>
      </c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</row>
    <row r="33" spans="1:32" ht="24.95" customHeight="1" x14ac:dyDescent="0.25">
      <c r="A33" s="77">
        <f t="shared" si="3"/>
        <v>30</v>
      </c>
      <c r="B33" s="78" t="s">
        <v>716</v>
      </c>
      <c r="C33" s="78" t="str">
        <f>LIST_OF_EQUIPMENT!$B$5</f>
        <v>MED - E1</v>
      </c>
      <c r="D33" s="78" t="s">
        <v>1145</v>
      </c>
      <c r="E33" s="78" t="s">
        <v>767</v>
      </c>
      <c r="F33" s="78" t="s">
        <v>1100</v>
      </c>
      <c r="G33" s="78" t="s">
        <v>1101</v>
      </c>
      <c r="H33" s="78" t="s">
        <v>1102</v>
      </c>
      <c r="I33" s="78" t="s">
        <v>456</v>
      </c>
      <c r="J33" s="78"/>
      <c r="K33" s="78">
        <f t="shared" si="0"/>
        <v>0.32045999999999997</v>
      </c>
      <c r="L33" s="78"/>
      <c r="M33" s="78"/>
      <c r="N33" s="78">
        <f t="shared" si="1"/>
        <v>70.599999999999994</v>
      </c>
      <c r="O33" s="78"/>
      <c r="P33" s="78"/>
      <c r="Q33" s="78" t="str">
        <f t="shared" si="2"/>
        <v/>
      </c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</row>
    <row r="34" spans="1:32" ht="24.95" customHeight="1" x14ac:dyDescent="0.25">
      <c r="A34" s="77">
        <f t="shared" si="3"/>
        <v>31</v>
      </c>
      <c r="B34" s="78" t="s">
        <v>716</v>
      </c>
      <c r="C34" s="79" t="str">
        <f>'LIST OF LINES'!B22</f>
        <v>150-40-SS-BW-01</v>
      </c>
      <c r="D34" s="78" t="s">
        <v>1146</v>
      </c>
      <c r="E34" s="78" t="s">
        <v>1147</v>
      </c>
      <c r="F34" s="78" t="s">
        <v>1100</v>
      </c>
      <c r="G34" s="78" t="s">
        <v>1106</v>
      </c>
      <c r="H34" s="78" t="s">
        <v>1102</v>
      </c>
      <c r="I34" s="78" t="s">
        <v>456</v>
      </c>
      <c r="J34" s="78"/>
      <c r="K34" s="78">
        <f t="shared" si="0"/>
        <v>0</v>
      </c>
      <c r="L34" s="78"/>
      <c r="M34" s="78"/>
      <c r="N34" s="78">
        <f t="shared" si="1"/>
        <v>66.55</v>
      </c>
      <c r="O34" s="78"/>
      <c r="P34" s="78"/>
      <c r="Q34" s="78">
        <f t="shared" si="2"/>
        <v>14.040400168653456</v>
      </c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</row>
    <row r="35" spans="1:32" ht="24.95" customHeight="1" x14ac:dyDescent="0.25">
      <c r="A35" s="77">
        <f t="shared" si="3"/>
        <v>32</v>
      </c>
      <c r="B35" s="78" t="s">
        <v>716</v>
      </c>
      <c r="C35" s="79" t="str">
        <f>'LIST OF LINES'!B23</f>
        <v>200-40-SS-BW-02</v>
      </c>
      <c r="D35" s="78" t="s">
        <v>1148</v>
      </c>
      <c r="E35" s="78" t="s">
        <v>1149</v>
      </c>
      <c r="F35" s="78" t="s">
        <v>1100</v>
      </c>
      <c r="G35" s="78" t="s">
        <v>1106</v>
      </c>
      <c r="H35" s="78" t="s">
        <v>1102</v>
      </c>
      <c r="I35" s="78" t="s">
        <v>456</v>
      </c>
      <c r="J35" s="78"/>
      <c r="K35" s="78">
        <f t="shared" si="0"/>
        <v>0</v>
      </c>
      <c r="L35" s="78"/>
      <c r="M35" s="78"/>
      <c r="N35" s="78">
        <f t="shared" si="1"/>
        <v>62.81</v>
      </c>
      <c r="O35" s="78"/>
      <c r="P35" s="78"/>
      <c r="Q35" s="78">
        <f t="shared" si="2"/>
        <v>28.764639866478664</v>
      </c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</row>
    <row r="36" spans="1:32" ht="24.95" customHeight="1" x14ac:dyDescent="0.25">
      <c r="A36" s="77">
        <f t="shared" si="3"/>
        <v>33</v>
      </c>
      <c r="B36" s="78" t="s">
        <v>716</v>
      </c>
      <c r="C36" s="79" t="str">
        <f>'LIST OF LINES'!B24</f>
        <v>250-40-SS-BW-03</v>
      </c>
      <c r="D36" s="78" t="s">
        <v>1150</v>
      </c>
      <c r="E36" s="78" t="s">
        <v>1151</v>
      </c>
      <c r="F36" s="78" t="s">
        <v>1100</v>
      </c>
      <c r="G36" s="78" t="s">
        <v>1106</v>
      </c>
      <c r="H36" s="78" t="s">
        <v>1102</v>
      </c>
      <c r="I36" s="78" t="s">
        <v>456</v>
      </c>
      <c r="J36" s="78"/>
      <c r="K36" s="78">
        <f t="shared" si="0"/>
        <v>0</v>
      </c>
      <c r="L36" s="78"/>
      <c r="M36" s="78"/>
      <c r="N36" s="78">
        <f t="shared" si="1"/>
        <v>59.4</v>
      </c>
      <c r="O36" s="78"/>
      <c r="P36" s="78"/>
      <c r="Q36" s="78">
        <f t="shared" si="2"/>
        <v>43.993049889124613</v>
      </c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</row>
    <row r="37" spans="1:32" ht="24.95" customHeight="1" x14ac:dyDescent="0.25">
      <c r="A37" s="77">
        <f t="shared" si="3"/>
        <v>34</v>
      </c>
      <c r="B37" s="78" t="s">
        <v>716</v>
      </c>
      <c r="C37" s="79" t="str">
        <f>'LIST OF LINES'!B25</f>
        <v>300-40-SS-BW-04</v>
      </c>
      <c r="D37" s="78" t="s">
        <v>1152</v>
      </c>
      <c r="E37" s="78" t="s">
        <v>1153</v>
      </c>
      <c r="F37" s="78" t="s">
        <v>1100</v>
      </c>
      <c r="G37" s="78" t="s">
        <v>1106</v>
      </c>
      <c r="H37" s="78" t="s">
        <v>1102</v>
      </c>
      <c r="I37" s="78" t="s">
        <v>456</v>
      </c>
      <c r="J37" s="78"/>
      <c r="K37" s="78">
        <f t="shared" si="0"/>
        <v>0</v>
      </c>
      <c r="L37" s="78"/>
      <c r="M37" s="78"/>
      <c r="N37" s="78">
        <f t="shared" si="1"/>
        <v>56.2</v>
      </c>
      <c r="O37" s="78"/>
      <c r="P37" s="78"/>
      <c r="Q37" s="78">
        <f t="shared" si="2"/>
        <v>59.659532793732176</v>
      </c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</row>
    <row r="38" spans="1:32" ht="24.95" customHeight="1" x14ac:dyDescent="0.25">
      <c r="A38" s="77">
        <f t="shared" si="3"/>
        <v>35</v>
      </c>
      <c r="B38" s="78" t="s">
        <v>716</v>
      </c>
      <c r="C38" s="79" t="str">
        <f>'LIST OF LINES'!B26</f>
        <v>350-40-SS-BW-05</v>
      </c>
      <c r="D38" s="78" t="s">
        <v>1154</v>
      </c>
      <c r="E38" s="78" t="s">
        <v>1155</v>
      </c>
      <c r="F38" s="78" t="s">
        <v>1100</v>
      </c>
      <c r="G38" s="78" t="s">
        <v>1106</v>
      </c>
      <c r="H38" s="78" t="s">
        <v>1102</v>
      </c>
      <c r="I38" s="78" t="s">
        <v>456</v>
      </c>
      <c r="J38" s="78"/>
      <c r="K38" s="78">
        <f t="shared" si="0"/>
        <v>0</v>
      </c>
      <c r="L38" s="78"/>
      <c r="M38" s="78"/>
      <c r="N38" s="78">
        <f t="shared" si="1"/>
        <v>53.1</v>
      </c>
      <c r="O38" s="78"/>
      <c r="P38" s="78"/>
      <c r="Q38" s="78">
        <f t="shared" si="2"/>
        <v>75.396833018043552</v>
      </c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</row>
    <row r="39" spans="1:32" ht="24.95" customHeight="1" x14ac:dyDescent="0.25">
      <c r="A39" s="77">
        <f t="shared" si="3"/>
        <v>36</v>
      </c>
      <c r="B39" s="78" t="s">
        <v>716</v>
      </c>
      <c r="C39" s="79" t="str">
        <f>'LIST OF LINES'!B27</f>
        <v>400-40-SS-BW-06</v>
      </c>
      <c r="D39" s="78" t="s">
        <v>1156</v>
      </c>
      <c r="E39" s="78" t="s">
        <v>1157</v>
      </c>
      <c r="F39" s="78" t="s">
        <v>1100</v>
      </c>
      <c r="G39" s="78" t="s">
        <v>1106</v>
      </c>
      <c r="H39" s="78" t="s">
        <v>1102</v>
      </c>
      <c r="I39" s="78" t="s">
        <v>456</v>
      </c>
      <c r="J39" s="78"/>
      <c r="K39" s="78">
        <f t="shared" si="0"/>
        <v>0</v>
      </c>
      <c r="L39" s="78"/>
      <c r="M39" s="78"/>
      <c r="N39" s="78">
        <f t="shared" si="1"/>
        <v>50</v>
      </c>
      <c r="O39" s="78"/>
      <c r="P39" s="78"/>
      <c r="Q39" s="78">
        <f t="shared" si="2"/>
        <v>91.063094209161633</v>
      </c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</row>
    <row r="40" spans="1:32" ht="24.95" customHeight="1" x14ac:dyDescent="0.25">
      <c r="A40" s="77">
        <f t="shared" si="3"/>
        <v>37</v>
      </c>
      <c r="B40" s="78" t="s">
        <v>716</v>
      </c>
      <c r="C40" s="79" t="str">
        <f>'LIST OF LINES'!B28</f>
        <v>400-40-SS-BW-07</v>
      </c>
      <c r="D40" s="78" t="s">
        <v>1158</v>
      </c>
      <c r="E40" s="78" t="s">
        <v>1159</v>
      </c>
      <c r="F40" s="78" t="s">
        <v>1100</v>
      </c>
      <c r="G40" s="78" t="s">
        <v>1106</v>
      </c>
      <c r="H40" s="78" t="s">
        <v>1102</v>
      </c>
      <c r="I40" s="78" t="s">
        <v>456</v>
      </c>
      <c r="J40" s="78"/>
      <c r="K40" s="78">
        <f t="shared" si="0"/>
        <v>0</v>
      </c>
      <c r="L40" s="78"/>
      <c r="M40" s="78"/>
      <c r="N40" s="78">
        <f t="shared" si="1"/>
        <v>46.72</v>
      </c>
      <c r="O40" s="78"/>
      <c r="P40" s="78"/>
      <c r="Q40" s="78">
        <f t="shared" si="2"/>
        <v>107.25728994582964</v>
      </c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</row>
    <row r="41" spans="1:32" ht="24.95" customHeight="1" x14ac:dyDescent="0.25">
      <c r="A41" s="77">
        <f t="shared" si="3"/>
        <v>38</v>
      </c>
      <c r="B41" s="78" t="s">
        <v>716</v>
      </c>
      <c r="C41" s="79" t="str">
        <f>'LIST OF LINES'!B29</f>
        <v>450-40-SS-BW-08</v>
      </c>
      <c r="D41" s="78" t="s">
        <v>1160</v>
      </c>
      <c r="E41" s="78" t="s">
        <v>1161</v>
      </c>
      <c r="F41" s="78" t="s">
        <v>1100</v>
      </c>
      <c r="G41" s="78" t="s">
        <v>1106</v>
      </c>
      <c r="H41" s="78" t="s">
        <v>1102</v>
      </c>
      <c r="I41" s="78" t="s">
        <v>456</v>
      </c>
      <c r="J41" s="78"/>
      <c r="K41" s="78">
        <f t="shared" si="0"/>
        <v>0</v>
      </c>
      <c r="L41" s="78"/>
      <c r="M41" s="78"/>
      <c r="N41" s="78">
        <f t="shared" si="1"/>
        <v>43.14</v>
      </c>
      <c r="O41" s="78"/>
      <c r="P41" s="78"/>
      <c r="Q41" s="78">
        <f t="shared" si="2"/>
        <v>122.91232484657569</v>
      </c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</row>
    <row r="42" spans="1:32" ht="24.95" customHeight="1" x14ac:dyDescent="0.25">
      <c r="A42" s="77">
        <f t="shared" si="3"/>
        <v>39</v>
      </c>
      <c r="B42" s="101" t="s">
        <v>681</v>
      </c>
      <c r="C42" s="78" t="str">
        <f>LIST_OF_EQUIPMENT!$B$17</f>
        <v>BT</v>
      </c>
      <c r="D42" s="78" t="s">
        <v>1162</v>
      </c>
      <c r="E42" s="78" t="s">
        <v>1163</v>
      </c>
      <c r="F42" s="78" t="s">
        <v>1100</v>
      </c>
      <c r="G42" s="78" t="s">
        <v>1106</v>
      </c>
      <c r="H42" s="78" t="s">
        <v>1102</v>
      </c>
      <c r="I42" s="78" t="s">
        <v>456</v>
      </c>
      <c r="J42" s="78"/>
      <c r="K42" s="78">
        <f t="shared" si="0"/>
        <v>6.8000000000000005E-2</v>
      </c>
      <c r="L42" s="78"/>
      <c r="M42" s="78"/>
      <c r="N42" s="78">
        <f t="shared" si="1"/>
        <v>39</v>
      </c>
      <c r="O42" s="78"/>
      <c r="P42" s="78"/>
      <c r="Q42" s="78" t="str">
        <f t="shared" si="2"/>
        <v/>
      </c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</row>
    <row r="43" spans="1:32" ht="24.95" customHeight="1" x14ac:dyDescent="0.25">
      <c r="A43" s="77">
        <f t="shared" si="3"/>
        <v>40</v>
      </c>
      <c r="B43" s="101" t="s">
        <v>681</v>
      </c>
      <c r="C43" s="78" t="str">
        <f>LIST_OF_EQUIPMENT!$B$17</f>
        <v>BT</v>
      </c>
      <c r="D43" s="78" t="s">
        <v>1164</v>
      </c>
      <c r="E43" s="78" t="s">
        <v>1165</v>
      </c>
      <c r="F43" s="78" t="s">
        <v>1100</v>
      </c>
      <c r="G43" s="78" t="s">
        <v>1101</v>
      </c>
      <c r="H43" s="78" t="s">
        <v>1102</v>
      </c>
      <c r="I43" s="78" t="s">
        <v>456</v>
      </c>
      <c r="J43" s="78"/>
      <c r="K43" s="78">
        <f t="shared" si="0"/>
        <v>6.8000000000000005E-2</v>
      </c>
      <c r="L43" s="78"/>
      <c r="M43" s="78"/>
      <c r="N43" s="78">
        <f t="shared" si="1"/>
        <v>39</v>
      </c>
      <c r="O43" s="78"/>
      <c r="P43" s="78"/>
      <c r="Q43" s="78" t="str">
        <f t="shared" si="2"/>
        <v/>
      </c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</row>
    <row r="44" spans="1:32" ht="24.95" customHeight="1" x14ac:dyDescent="0.25">
      <c r="A44" s="77">
        <f t="shared" si="3"/>
        <v>41</v>
      </c>
      <c r="B44" s="101" t="s">
        <v>681</v>
      </c>
      <c r="C44" s="78" t="str">
        <f>LIST_OF_EQUIPMENT!$B$17</f>
        <v>BT</v>
      </c>
      <c r="D44" s="78" t="s">
        <v>1166</v>
      </c>
      <c r="E44" s="78" t="s">
        <v>1167</v>
      </c>
      <c r="F44" s="78" t="s">
        <v>1100</v>
      </c>
      <c r="G44" s="78" t="s">
        <v>1106</v>
      </c>
      <c r="H44" s="78" t="s">
        <v>1142</v>
      </c>
      <c r="I44" s="78" t="s">
        <v>456</v>
      </c>
      <c r="J44" s="78"/>
      <c r="K44" s="78">
        <f t="shared" si="0"/>
        <v>6.8000000000000005E-2</v>
      </c>
      <c r="L44" s="78"/>
      <c r="M44" s="78"/>
      <c r="N44" s="78">
        <f t="shared" si="1"/>
        <v>39</v>
      </c>
      <c r="O44" s="78"/>
      <c r="P44" s="78"/>
      <c r="Q44" s="78" t="str">
        <f t="shared" si="2"/>
        <v/>
      </c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</row>
    <row r="45" spans="1:32" ht="24.95" customHeight="1" x14ac:dyDescent="0.25">
      <c r="A45" s="77">
        <f t="shared" si="3"/>
        <v>42</v>
      </c>
      <c r="B45" s="101" t="s">
        <v>681</v>
      </c>
      <c r="C45" s="78" t="str">
        <f>LIST_OF_EQUIPMENT!$B$17</f>
        <v>BT</v>
      </c>
      <c r="D45" s="78" t="s">
        <v>1168</v>
      </c>
      <c r="E45" s="78" t="s">
        <v>1167</v>
      </c>
      <c r="F45" s="78" t="s">
        <v>1100</v>
      </c>
      <c r="G45" s="78" t="s">
        <v>1106</v>
      </c>
      <c r="H45" s="78" t="s">
        <v>1142</v>
      </c>
      <c r="I45" s="78" t="s">
        <v>456</v>
      </c>
      <c r="J45" s="78"/>
      <c r="K45" s="78">
        <f t="shared" si="0"/>
        <v>6.8000000000000005E-2</v>
      </c>
      <c r="L45" s="78"/>
      <c r="M45" s="78"/>
      <c r="N45" s="78">
        <f t="shared" si="1"/>
        <v>39</v>
      </c>
      <c r="O45" s="78"/>
      <c r="P45" s="78"/>
      <c r="Q45" s="78" t="str">
        <f t="shared" si="2"/>
        <v/>
      </c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</row>
    <row r="46" spans="1:32" ht="24.95" customHeight="1" x14ac:dyDescent="0.25">
      <c r="A46" s="77">
        <f t="shared" si="3"/>
        <v>43</v>
      </c>
      <c r="B46" s="101" t="s">
        <v>681</v>
      </c>
      <c r="C46" s="78" t="str">
        <f>'LIST OF LINES'!$B$31</f>
        <v>ID800-8THK-SS-BW-10</v>
      </c>
      <c r="D46" s="78" t="s">
        <v>1169</v>
      </c>
      <c r="E46" s="78" t="s">
        <v>1170</v>
      </c>
      <c r="F46" s="78" t="s">
        <v>1171</v>
      </c>
      <c r="G46" s="78" t="s">
        <v>1106</v>
      </c>
      <c r="H46" s="78" t="s">
        <v>1172</v>
      </c>
      <c r="I46" s="78" t="s">
        <v>456</v>
      </c>
      <c r="J46" s="78"/>
      <c r="K46" s="78">
        <f t="shared" si="0"/>
        <v>2.5</v>
      </c>
      <c r="L46" s="78"/>
      <c r="M46" s="78"/>
      <c r="N46" s="78">
        <f t="shared" si="1"/>
        <v>39.070967475491052</v>
      </c>
      <c r="O46" s="78"/>
      <c r="P46" s="78"/>
      <c r="Q46" s="78">
        <f t="shared" si="2"/>
        <v>137.92182018147011</v>
      </c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</row>
    <row r="47" spans="1:32" ht="24.95" customHeight="1" x14ac:dyDescent="0.25">
      <c r="A47" s="77">
        <f t="shared" si="3"/>
        <v>44</v>
      </c>
      <c r="B47" s="101" t="s">
        <v>681</v>
      </c>
      <c r="C47" s="78" t="str">
        <f>'LIST OF LINES'!$B$31</f>
        <v>ID800-8THK-SS-BW-10</v>
      </c>
      <c r="D47" s="78" t="s">
        <v>1173</v>
      </c>
      <c r="E47" s="78" t="s">
        <v>1170</v>
      </c>
      <c r="F47" s="78" t="s">
        <v>1171</v>
      </c>
      <c r="G47" s="78" t="s">
        <v>1106</v>
      </c>
      <c r="H47" s="78" t="s">
        <v>1172</v>
      </c>
      <c r="I47" s="78" t="s">
        <v>456</v>
      </c>
      <c r="J47" s="78"/>
      <c r="K47" s="78">
        <f t="shared" si="0"/>
        <v>2.5</v>
      </c>
      <c r="L47" s="78"/>
      <c r="M47" s="78"/>
      <c r="N47" s="78">
        <f t="shared" si="1"/>
        <v>39.070967475491052</v>
      </c>
      <c r="O47" s="78"/>
      <c r="P47" s="78"/>
      <c r="Q47" s="78">
        <f t="shared" si="2"/>
        <v>137.92182018147011</v>
      </c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</row>
    <row r="48" spans="1:32" ht="24.95" customHeight="1" x14ac:dyDescent="0.25">
      <c r="A48" s="77">
        <f t="shared" si="3"/>
        <v>45</v>
      </c>
      <c r="B48" s="101" t="s">
        <v>681</v>
      </c>
      <c r="C48" s="78" t="str">
        <f>'LIST OF LINES'!$B$31</f>
        <v>ID800-8THK-SS-BW-10</v>
      </c>
      <c r="D48" s="78" t="s">
        <v>1174</v>
      </c>
      <c r="E48" s="78" t="s">
        <v>1175</v>
      </c>
      <c r="F48" s="78" t="s">
        <v>1100</v>
      </c>
      <c r="G48" s="78" t="s">
        <v>1106</v>
      </c>
      <c r="H48" s="78" t="s">
        <v>1102</v>
      </c>
      <c r="I48" s="78" t="s">
        <v>456</v>
      </c>
      <c r="J48" s="78"/>
      <c r="K48" s="78">
        <f t="shared" si="0"/>
        <v>2.5</v>
      </c>
      <c r="L48" s="78"/>
      <c r="M48" s="78"/>
      <c r="N48" s="78">
        <f t="shared" si="1"/>
        <v>39.070967475491052</v>
      </c>
      <c r="O48" s="78"/>
      <c r="P48" s="78"/>
      <c r="Q48" s="78">
        <f t="shared" si="2"/>
        <v>137.92182018147011</v>
      </c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</row>
    <row r="49" spans="1:32" ht="24.95" customHeight="1" x14ac:dyDescent="0.25">
      <c r="A49" s="77">
        <f t="shared" si="3"/>
        <v>46</v>
      </c>
      <c r="B49" s="101" t="s">
        <v>681</v>
      </c>
      <c r="C49" s="78" t="str">
        <f>'LIST OF LINES'!$B$31</f>
        <v>ID800-8THK-SS-BW-10</v>
      </c>
      <c r="D49" s="78" t="s">
        <v>1176</v>
      </c>
      <c r="E49" s="78" t="s">
        <v>1177</v>
      </c>
      <c r="F49" s="78" t="s">
        <v>1100</v>
      </c>
      <c r="G49" s="78" t="s">
        <v>1106</v>
      </c>
      <c r="H49" s="78" t="s">
        <v>1178</v>
      </c>
      <c r="I49" s="78" t="s">
        <v>456</v>
      </c>
      <c r="J49" s="78"/>
      <c r="K49" s="78">
        <f t="shared" si="0"/>
        <v>2.5</v>
      </c>
      <c r="L49" s="78"/>
      <c r="M49" s="78"/>
      <c r="N49" s="78">
        <f t="shared" si="1"/>
        <v>39.070967475491052</v>
      </c>
      <c r="O49" s="78"/>
      <c r="P49" s="78"/>
      <c r="Q49" s="78">
        <f t="shared" si="2"/>
        <v>137.92182018147011</v>
      </c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pans="1:32" ht="24.95" customHeight="1" x14ac:dyDescent="0.25">
      <c r="A50" s="77">
        <f t="shared" si="3"/>
        <v>47</v>
      </c>
      <c r="B50" s="101" t="s">
        <v>681</v>
      </c>
      <c r="C50" s="78" t="str">
        <f>'LIST OF LINES'!$B$32</f>
        <v>XX-XX-SS-BW-11</v>
      </c>
      <c r="D50" s="78" t="s">
        <v>788</v>
      </c>
      <c r="E50" s="78" t="s">
        <v>1179</v>
      </c>
      <c r="F50" s="78" t="s">
        <v>1100</v>
      </c>
      <c r="G50" s="78" t="s">
        <v>1101</v>
      </c>
      <c r="H50" s="78" t="s">
        <v>1178</v>
      </c>
      <c r="I50" s="78" t="s">
        <v>456</v>
      </c>
      <c r="J50" s="78"/>
      <c r="K50" s="78">
        <f t="shared" si="0"/>
        <v>2.5</v>
      </c>
      <c r="L50" s="78"/>
      <c r="M50" s="78"/>
      <c r="N50" s="78">
        <f t="shared" si="1"/>
        <v>37.447389715745032</v>
      </c>
      <c r="O50" s="78"/>
      <c r="P50" s="78"/>
      <c r="Q50" s="78" t="str">
        <f t="shared" si="2"/>
        <v/>
      </c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</row>
    <row r="51" spans="1:32" ht="24.95" customHeight="1" x14ac:dyDescent="0.25">
      <c r="A51" s="77">
        <f t="shared" si="3"/>
        <v>48</v>
      </c>
      <c r="B51" s="101" t="s">
        <v>681</v>
      </c>
      <c r="C51" s="78" t="str">
        <f>'LIST OF LINES'!$B$32</f>
        <v>XX-XX-SS-BW-11</v>
      </c>
      <c r="D51" s="78" t="s">
        <v>791</v>
      </c>
      <c r="E51" s="78" t="s">
        <v>1180</v>
      </c>
      <c r="F51" s="78" t="s">
        <v>1100</v>
      </c>
      <c r="G51" s="78" t="s">
        <v>1101</v>
      </c>
      <c r="H51" s="78" t="s">
        <v>1178</v>
      </c>
      <c r="I51" s="78" t="s">
        <v>456</v>
      </c>
      <c r="J51" s="78"/>
      <c r="K51" s="78">
        <f t="shared" si="0"/>
        <v>2.5</v>
      </c>
      <c r="L51" s="78"/>
      <c r="M51" s="78"/>
      <c r="N51" s="78">
        <f t="shared" si="1"/>
        <v>37.447389715745032</v>
      </c>
      <c r="O51" s="78"/>
      <c r="P51" s="78"/>
      <c r="Q51" s="78" t="str">
        <f t="shared" si="2"/>
        <v/>
      </c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</row>
    <row r="52" spans="1:32" ht="24.95" customHeight="1" x14ac:dyDescent="0.25">
      <c r="A52" s="77">
        <f t="shared" si="3"/>
        <v>49</v>
      </c>
      <c r="B52" s="101" t="s">
        <v>681</v>
      </c>
      <c r="C52" s="78" t="str">
        <f>'LIST OF LINES'!$B$32</f>
        <v>XX-XX-SS-BW-11</v>
      </c>
      <c r="D52" s="78" t="s">
        <v>1181</v>
      </c>
      <c r="E52" s="78" t="s">
        <v>1182</v>
      </c>
      <c r="F52" s="78" t="s">
        <v>1116</v>
      </c>
      <c r="G52" s="78" t="s">
        <v>1106</v>
      </c>
      <c r="H52" s="102" t="s">
        <v>174</v>
      </c>
      <c r="I52" s="78" t="s">
        <v>456</v>
      </c>
      <c r="J52" s="78"/>
      <c r="K52" s="78">
        <f t="shared" si="0"/>
        <v>2.5</v>
      </c>
      <c r="L52" s="78"/>
      <c r="M52" s="78"/>
      <c r="N52" s="78">
        <f t="shared" si="1"/>
        <v>37.447389715745032</v>
      </c>
      <c r="O52" s="78"/>
      <c r="P52" s="78"/>
      <c r="Q52" s="78" t="str">
        <f t="shared" si="2"/>
        <v/>
      </c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</row>
    <row r="53" spans="1:32" ht="24.95" customHeight="1" x14ac:dyDescent="0.25">
      <c r="A53" s="77">
        <f t="shared" si="3"/>
        <v>50</v>
      </c>
      <c r="B53" s="101" t="s">
        <v>681</v>
      </c>
      <c r="C53" s="78" t="str">
        <f>'LIST OF LINES'!$B$32</f>
        <v>XX-XX-SS-BW-11</v>
      </c>
      <c r="D53" s="78" t="s">
        <v>1183</v>
      </c>
      <c r="E53" s="78" t="s">
        <v>1182</v>
      </c>
      <c r="F53" s="78" t="s">
        <v>1116</v>
      </c>
      <c r="G53" s="78" t="s">
        <v>1106</v>
      </c>
      <c r="H53" s="102" t="s">
        <v>174</v>
      </c>
      <c r="I53" s="78" t="s">
        <v>456</v>
      </c>
      <c r="J53" s="78"/>
      <c r="K53" s="78">
        <f t="shared" si="0"/>
        <v>2.5</v>
      </c>
      <c r="L53" s="78"/>
      <c r="M53" s="78"/>
      <c r="N53" s="78">
        <f t="shared" si="1"/>
        <v>37.447389715745032</v>
      </c>
      <c r="O53" s="78"/>
      <c r="P53" s="78"/>
      <c r="Q53" s="78" t="str">
        <f t="shared" si="2"/>
        <v/>
      </c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</row>
    <row r="54" spans="1:32" ht="24.95" customHeight="1" x14ac:dyDescent="0.25">
      <c r="A54" s="77">
        <f t="shared" si="3"/>
        <v>51</v>
      </c>
      <c r="B54" s="101" t="s">
        <v>681</v>
      </c>
      <c r="C54" s="78" t="str">
        <f>'LIST OF LINES'!$B$32</f>
        <v>XX-XX-SS-BW-11</v>
      </c>
      <c r="D54" s="78" t="s">
        <v>1184</v>
      </c>
      <c r="E54" s="78" t="s">
        <v>1182</v>
      </c>
      <c r="F54" s="78" t="s">
        <v>1100</v>
      </c>
      <c r="G54" s="78" t="s">
        <v>1106</v>
      </c>
      <c r="H54" s="102" t="s">
        <v>174</v>
      </c>
      <c r="I54" s="78" t="s">
        <v>456</v>
      </c>
      <c r="J54" s="78"/>
      <c r="K54" s="78">
        <f t="shared" si="0"/>
        <v>2.5</v>
      </c>
      <c r="L54" s="78"/>
      <c r="M54" s="78"/>
      <c r="N54" s="78">
        <f t="shared" si="1"/>
        <v>37.447389715745032</v>
      </c>
      <c r="O54" s="78"/>
      <c r="P54" s="78"/>
      <c r="Q54" s="78" t="str">
        <f t="shared" si="2"/>
        <v/>
      </c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 spans="1:32" ht="24.95" customHeight="1" x14ac:dyDescent="0.25">
      <c r="A55" s="77">
        <f t="shared" si="3"/>
        <v>52</v>
      </c>
      <c r="B55" s="101" t="s">
        <v>681</v>
      </c>
      <c r="C55" s="78" t="str">
        <f>'LIST OF LINES'!$B$32</f>
        <v>XX-XX-SS-BW-11</v>
      </c>
      <c r="D55" s="78" t="s">
        <v>1185</v>
      </c>
      <c r="E55" s="78" t="s">
        <v>1182</v>
      </c>
      <c r="F55" s="78" t="s">
        <v>1100</v>
      </c>
      <c r="G55" s="78" t="s">
        <v>1106</v>
      </c>
      <c r="H55" s="102" t="s">
        <v>174</v>
      </c>
      <c r="I55" s="78" t="s">
        <v>456</v>
      </c>
      <c r="J55" s="78"/>
      <c r="K55" s="78">
        <f t="shared" si="0"/>
        <v>2.5</v>
      </c>
      <c r="L55" s="78"/>
      <c r="M55" s="78"/>
      <c r="N55" s="78">
        <f t="shared" si="1"/>
        <v>37.447389715745032</v>
      </c>
      <c r="O55" s="78"/>
      <c r="P55" s="78"/>
      <c r="Q55" s="78" t="str">
        <f t="shared" si="2"/>
        <v/>
      </c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</row>
    <row r="56" spans="1:32" ht="24.95" customHeight="1" x14ac:dyDescent="0.25">
      <c r="A56" s="77">
        <f t="shared" si="3"/>
        <v>53</v>
      </c>
      <c r="B56" s="101" t="s">
        <v>681</v>
      </c>
      <c r="C56" s="78" t="str">
        <f>'LIST OF LINES'!$B$32</f>
        <v>XX-XX-SS-BW-11</v>
      </c>
      <c r="D56" s="78" t="s">
        <v>794</v>
      </c>
      <c r="E56" s="78" t="s">
        <v>1186</v>
      </c>
      <c r="F56" s="78" t="s">
        <v>1100</v>
      </c>
      <c r="G56" s="78" t="s">
        <v>1101</v>
      </c>
      <c r="H56" s="78" t="s">
        <v>1102</v>
      </c>
      <c r="I56" s="78" t="s">
        <v>456</v>
      </c>
      <c r="J56" s="78"/>
      <c r="K56" s="78">
        <f t="shared" si="0"/>
        <v>2.5</v>
      </c>
      <c r="L56" s="78"/>
      <c r="M56" s="78"/>
      <c r="N56" s="78">
        <f t="shared" si="1"/>
        <v>37.447389715745032</v>
      </c>
      <c r="O56" s="78"/>
      <c r="P56" s="78"/>
      <c r="Q56" s="78" t="str">
        <f t="shared" si="2"/>
        <v/>
      </c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</row>
    <row r="57" spans="1:32" ht="24.95" customHeight="1" x14ac:dyDescent="0.25">
      <c r="A57" s="77">
        <f t="shared" si="3"/>
        <v>54</v>
      </c>
      <c r="B57" s="101" t="s">
        <v>681</v>
      </c>
      <c r="C57" s="78" t="str">
        <f>'LIST OF LINES'!$B$32</f>
        <v>XX-XX-SS-BW-11</v>
      </c>
      <c r="D57" s="78" t="s">
        <v>797</v>
      </c>
      <c r="E57" s="78" t="s">
        <v>796</v>
      </c>
      <c r="F57" s="78" t="s">
        <v>1100</v>
      </c>
      <c r="G57" s="78" t="s">
        <v>1101</v>
      </c>
      <c r="H57" s="78" t="s">
        <v>1102</v>
      </c>
      <c r="I57" s="78" t="s">
        <v>456</v>
      </c>
      <c r="J57" s="78"/>
      <c r="K57" s="78">
        <f t="shared" si="0"/>
        <v>2.5</v>
      </c>
      <c r="L57" s="78"/>
      <c r="M57" s="78"/>
      <c r="N57" s="78">
        <f t="shared" si="1"/>
        <v>37.447389715745032</v>
      </c>
      <c r="O57" s="78"/>
      <c r="P57" s="78"/>
      <c r="Q57" s="78" t="str">
        <f t="shared" si="2"/>
        <v/>
      </c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</row>
    <row r="58" spans="1:32" ht="24.95" customHeight="1" x14ac:dyDescent="0.25">
      <c r="A58" s="77">
        <f t="shared" si="3"/>
        <v>55</v>
      </c>
      <c r="B58" s="101" t="s">
        <v>716</v>
      </c>
      <c r="C58" s="78" t="str">
        <f>'LIST OF LINES'!$B$33</f>
        <v>200-40-SS-BW-12</v>
      </c>
      <c r="D58" s="78" t="s">
        <v>801</v>
      </c>
      <c r="E58" s="78" t="s">
        <v>1187</v>
      </c>
      <c r="F58" s="78" t="s">
        <v>1100</v>
      </c>
      <c r="G58" s="78" t="s">
        <v>1101</v>
      </c>
      <c r="H58" s="78" t="s">
        <v>1102</v>
      </c>
      <c r="I58" s="78" t="s">
        <v>456</v>
      </c>
      <c r="J58" s="78"/>
      <c r="K58" s="78">
        <f t="shared" si="0"/>
        <v>2.5</v>
      </c>
      <c r="L58" s="78"/>
      <c r="M58" s="78"/>
      <c r="N58" s="78">
        <f t="shared" si="1"/>
        <v>37.447389715745032</v>
      </c>
      <c r="O58" s="78"/>
      <c r="P58" s="78"/>
      <c r="Q58" s="78" t="str">
        <f t="shared" si="2"/>
        <v/>
      </c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</row>
    <row r="59" spans="1:32" ht="24.95" customHeight="1" x14ac:dyDescent="0.25">
      <c r="A59" s="77">
        <f t="shared" si="3"/>
        <v>56</v>
      </c>
      <c r="B59" s="101" t="s">
        <v>681</v>
      </c>
      <c r="C59" s="78" t="str">
        <f>'LIST OF LINES'!$B$33</f>
        <v>200-40-SS-BW-12</v>
      </c>
      <c r="D59" s="78" t="s">
        <v>803</v>
      </c>
      <c r="E59" s="78" t="s">
        <v>802</v>
      </c>
      <c r="F59" s="78" t="s">
        <v>1100</v>
      </c>
      <c r="G59" s="78" t="s">
        <v>1101</v>
      </c>
      <c r="H59" s="78" t="s">
        <v>1102</v>
      </c>
      <c r="I59" s="78" t="s">
        <v>456</v>
      </c>
      <c r="J59" s="78"/>
      <c r="K59" s="78">
        <f t="shared" si="0"/>
        <v>2.5</v>
      </c>
      <c r="L59" s="78"/>
      <c r="M59" s="78"/>
      <c r="N59" s="78">
        <f t="shared" si="1"/>
        <v>37.447389715745032</v>
      </c>
      <c r="O59" s="78"/>
      <c r="P59" s="78"/>
      <c r="Q59" s="78" t="str">
        <f t="shared" si="2"/>
        <v/>
      </c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</row>
    <row r="60" spans="1:32" ht="24.95" customHeight="1" x14ac:dyDescent="0.25">
      <c r="A60" s="77">
        <f t="shared" si="3"/>
        <v>57</v>
      </c>
      <c r="B60" s="101" t="s">
        <v>716</v>
      </c>
      <c r="C60" s="78" t="str">
        <f>'LIST OF LINES'!$B$33</f>
        <v>200-40-SS-BW-12</v>
      </c>
      <c r="D60" s="78" t="s">
        <v>1188</v>
      </c>
      <c r="E60" s="78"/>
      <c r="F60" s="78" t="s">
        <v>1123</v>
      </c>
      <c r="G60" s="78" t="s">
        <v>1106</v>
      </c>
      <c r="H60" s="78" t="s">
        <v>1107</v>
      </c>
      <c r="I60" s="78" t="s">
        <v>456</v>
      </c>
      <c r="J60" s="78"/>
      <c r="K60" s="78">
        <f t="shared" si="0"/>
        <v>2.5</v>
      </c>
      <c r="L60" s="78"/>
      <c r="M60" s="78"/>
      <c r="N60" s="78">
        <f t="shared" si="1"/>
        <v>37.447389715745032</v>
      </c>
      <c r="O60" s="78"/>
      <c r="P60" s="78"/>
      <c r="Q60" s="78" t="str">
        <f t="shared" si="2"/>
        <v/>
      </c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</row>
    <row r="61" spans="1:32" ht="24.95" customHeight="1" x14ac:dyDescent="0.25">
      <c r="A61" s="77">
        <f t="shared" si="3"/>
        <v>58</v>
      </c>
      <c r="B61" s="101" t="s">
        <v>716</v>
      </c>
      <c r="C61" s="78" t="str">
        <f>'LIST OF LINES'!B35</f>
        <v>150-40-SS-BW-14</v>
      </c>
      <c r="D61" s="78" t="s">
        <v>808</v>
      </c>
      <c r="E61" s="78" t="s">
        <v>807</v>
      </c>
      <c r="F61" s="78" t="s">
        <v>1100</v>
      </c>
      <c r="G61" s="78" t="s">
        <v>1101</v>
      </c>
      <c r="H61" s="78" t="s">
        <v>1102</v>
      </c>
      <c r="I61" s="78" t="s">
        <v>456</v>
      </c>
      <c r="J61" s="78"/>
      <c r="K61" s="78">
        <f t="shared" si="0"/>
        <v>2.5</v>
      </c>
      <c r="L61" s="78"/>
      <c r="M61" s="78"/>
      <c r="N61" s="78">
        <f t="shared" si="1"/>
        <v>37.447389715745032</v>
      </c>
      <c r="O61" s="78"/>
      <c r="P61" s="78"/>
      <c r="Q61" s="78">
        <f t="shared" si="2"/>
        <v>65.487079379759621</v>
      </c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</row>
    <row r="62" spans="1:32" ht="24.95" customHeight="1" x14ac:dyDescent="0.25">
      <c r="A62" s="77">
        <f t="shared" si="3"/>
        <v>59</v>
      </c>
      <c r="B62" s="101" t="s">
        <v>716</v>
      </c>
      <c r="C62" s="78" t="str">
        <f>'LIST OF LINES'!$B$36</f>
        <v>80-40-SS-BW-15</v>
      </c>
      <c r="D62" s="78" t="s">
        <v>1189</v>
      </c>
      <c r="E62" s="78" t="s">
        <v>1190</v>
      </c>
      <c r="F62" s="78" t="s">
        <v>1116</v>
      </c>
      <c r="G62" s="78" t="s">
        <v>1106</v>
      </c>
      <c r="H62" s="78" t="s">
        <v>1191</v>
      </c>
      <c r="I62" s="78" t="s">
        <v>456</v>
      </c>
      <c r="J62" s="78"/>
      <c r="K62" s="78">
        <f t="shared" si="0"/>
        <v>2.5</v>
      </c>
      <c r="L62" s="78"/>
      <c r="M62" s="78"/>
      <c r="N62" s="78">
        <f t="shared" si="1"/>
        <v>37.447389715745032</v>
      </c>
      <c r="O62" s="78"/>
      <c r="P62" s="78"/>
      <c r="Q62" s="78">
        <f t="shared" si="2"/>
        <v>6.3670396860638157</v>
      </c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</row>
    <row r="63" spans="1:32" ht="24.95" customHeight="1" x14ac:dyDescent="0.25">
      <c r="A63" s="77">
        <f t="shared" si="3"/>
        <v>60</v>
      </c>
      <c r="B63" s="101" t="s">
        <v>716</v>
      </c>
      <c r="C63" s="78" t="str">
        <f>'LIST OF LINES'!$B$36</f>
        <v>80-40-SS-BW-15</v>
      </c>
      <c r="D63" s="78" t="s">
        <v>813</v>
      </c>
      <c r="E63" s="78" t="s">
        <v>812</v>
      </c>
      <c r="F63" s="78" t="s">
        <v>1100</v>
      </c>
      <c r="G63" s="78" t="s">
        <v>1101</v>
      </c>
      <c r="H63" s="78" t="s">
        <v>1102</v>
      </c>
      <c r="I63" s="78" t="s">
        <v>456</v>
      </c>
      <c r="J63" s="78"/>
      <c r="K63" s="78">
        <f t="shared" si="0"/>
        <v>2.5</v>
      </c>
      <c r="L63" s="78"/>
      <c r="M63" s="78"/>
      <c r="N63" s="78">
        <f t="shared" si="1"/>
        <v>37.447389715745032</v>
      </c>
      <c r="O63" s="78"/>
      <c r="P63" s="78"/>
      <c r="Q63" s="78">
        <f t="shared" si="2"/>
        <v>6.3670396860638157</v>
      </c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</row>
    <row r="64" spans="1:32" ht="24.95" customHeight="1" x14ac:dyDescent="0.25">
      <c r="A64" s="77">
        <f t="shared" si="3"/>
        <v>61</v>
      </c>
      <c r="B64" s="101" t="s">
        <v>716</v>
      </c>
      <c r="C64" s="78" t="str">
        <f>'LIST OF LINES'!$B$36</f>
        <v>80-40-SS-BW-15</v>
      </c>
      <c r="D64" s="78" t="s">
        <v>1192</v>
      </c>
      <c r="E64" s="78" t="s">
        <v>1190</v>
      </c>
      <c r="F64" s="78" t="s">
        <v>1100</v>
      </c>
      <c r="G64" s="78" t="s">
        <v>1106</v>
      </c>
      <c r="H64" s="78" t="s">
        <v>1191</v>
      </c>
      <c r="I64" s="78" t="s">
        <v>456</v>
      </c>
      <c r="J64" s="78"/>
      <c r="K64" s="78">
        <f t="shared" si="0"/>
        <v>2.5</v>
      </c>
      <c r="L64" s="78"/>
      <c r="M64" s="78"/>
      <c r="N64" s="78">
        <f t="shared" si="1"/>
        <v>37.447389715745032</v>
      </c>
      <c r="O64" s="78"/>
      <c r="P64" s="78"/>
      <c r="Q64" s="78">
        <f t="shared" si="2"/>
        <v>6.3670396860638157</v>
      </c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</row>
    <row r="65" spans="1:32" ht="24.95" customHeight="1" x14ac:dyDescent="0.25">
      <c r="A65" s="77">
        <f t="shared" si="3"/>
        <v>62</v>
      </c>
      <c r="B65" s="101" t="s">
        <v>716</v>
      </c>
      <c r="C65" s="78" t="str">
        <f>'LIST OF LINES'!$B$37</f>
        <v>80-40-SS-BW-16</v>
      </c>
      <c r="D65" s="78" t="s">
        <v>1193</v>
      </c>
      <c r="E65" s="78" t="s">
        <v>1194</v>
      </c>
      <c r="F65" s="78" t="s">
        <v>1116</v>
      </c>
      <c r="G65" s="78" t="s">
        <v>1106</v>
      </c>
      <c r="H65" s="78" t="s">
        <v>1191</v>
      </c>
      <c r="I65" s="78" t="s">
        <v>456</v>
      </c>
      <c r="J65" s="78"/>
      <c r="K65" s="78">
        <f t="shared" si="0"/>
        <v>2.5</v>
      </c>
      <c r="L65" s="78"/>
      <c r="M65" s="78"/>
      <c r="N65" s="78">
        <f t="shared" si="1"/>
        <v>37.447389715745032</v>
      </c>
      <c r="O65" s="78"/>
      <c r="P65" s="78"/>
      <c r="Q65" s="78">
        <f t="shared" si="2"/>
        <v>6.3670396860638157</v>
      </c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</row>
    <row r="66" spans="1:32" ht="24.95" customHeight="1" x14ac:dyDescent="0.25">
      <c r="A66" s="77">
        <f t="shared" si="3"/>
        <v>63</v>
      </c>
      <c r="B66" s="101" t="s">
        <v>716</v>
      </c>
      <c r="C66" s="78" t="str">
        <f>'LIST OF LINES'!$B$37</f>
        <v>80-40-SS-BW-16</v>
      </c>
      <c r="D66" s="78" t="s">
        <v>818</v>
      </c>
      <c r="E66" s="78" t="s">
        <v>800</v>
      </c>
      <c r="F66" s="78" t="s">
        <v>1100</v>
      </c>
      <c r="G66" s="78" t="s">
        <v>1101</v>
      </c>
      <c r="H66" s="78" t="s">
        <v>1102</v>
      </c>
      <c r="I66" s="78" t="s">
        <v>456</v>
      </c>
      <c r="J66" s="78"/>
      <c r="K66" s="78">
        <f t="shared" si="0"/>
        <v>2.5</v>
      </c>
      <c r="L66" s="78"/>
      <c r="M66" s="78"/>
      <c r="N66" s="78">
        <f t="shared" si="1"/>
        <v>37.447389715745032</v>
      </c>
      <c r="O66" s="78"/>
      <c r="P66" s="78"/>
      <c r="Q66" s="78">
        <f t="shared" si="2"/>
        <v>6.3670396860638157</v>
      </c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</row>
    <row r="67" spans="1:32" ht="24.95" customHeight="1" x14ac:dyDescent="0.25">
      <c r="A67" s="77">
        <f t="shared" si="3"/>
        <v>64</v>
      </c>
      <c r="B67" s="101" t="s">
        <v>716</v>
      </c>
      <c r="C67" s="78" t="str">
        <f>'LIST OF LINES'!$B$37</f>
        <v>80-40-SS-BW-16</v>
      </c>
      <c r="D67" s="78" t="s">
        <v>1195</v>
      </c>
      <c r="E67" s="78" t="s">
        <v>1194</v>
      </c>
      <c r="F67" s="78" t="s">
        <v>1100</v>
      </c>
      <c r="G67" s="78" t="s">
        <v>1106</v>
      </c>
      <c r="H67" s="78" t="s">
        <v>1191</v>
      </c>
      <c r="I67" s="78" t="s">
        <v>456</v>
      </c>
      <c r="J67" s="78"/>
      <c r="K67" s="78">
        <f t="shared" si="0"/>
        <v>2.5</v>
      </c>
      <c r="L67" s="78"/>
      <c r="M67" s="78"/>
      <c r="N67" s="78">
        <f t="shared" si="1"/>
        <v>37.447389715745032</v>
      </c>
      <c r="O67" s="78"/>
      <c r="P67" s="78"/>
      <c r="Q67" s="78">
        <f t="shared" si="2"/>
        <v>6.3670396860638157</v>
      </c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</row>
    <row r="68" spans="1:32" ht="24.95" customHeight="1" x14ac:dyDescent="0.25">
      <c r="A68" s="77">
        <f t="shared" si="3"/>
        <v>65</v>
      </c>
      <c r="B68" s="101" t="s">
        <v>716</v>
      </c>
      <c r="C68" s="78" t="str">
        <f>'LIST OF LINES'!$B$38</f>
        <v>80-40-SS-BW-17</v>
      </c>
      <c r="D68" s="78" t="s">
        <v>1196</v>
      </c>
      <c r="E68" s="78" t="s">
        <v>1197</v>
      </c>
      <c r="F68" s="78" t="s">
        <v>1116</v>
      </c>
      <c r="G68" s="78" t="s">
        <v>1106</v>
      </c>
      <c r="H68" s="78" t="s">
        <v>1191</v>
      </c>
      <c r="I68" s="78" t="s">
        <v>456</v>
      </c>
      <c r="J68" s="78"/>
      <c r="K68" s="78">
        <f t="shared" ref="K68:K131" si="4">IFERROR(INDEX(Pressures_bar,MATCH(INDEX(LOL_LineTags,MATCH(C68,LOL_LineNumbers,0)),LineTags,0)),IFERROR(INDEX(LOE_Pressures,MATCH(C68,LOE_EquipNames,0))/1000,INDEX(LOE_Pressures,MATCH(C68,LOE_EquipTags,0))/1000))</f>
        <v>2.5</v>
      </c>
      <c r="L68" s="78"/>
      <c r="M68" s="78"/>
      <c r="N68" s="78">
        <f t="shared" ref="N68:N131" si="5">IFERROR(INDEX(Temperatures,MATCH(INDEX(LOL_LineTags,MATCH(C68,LOL_LineNumbers,0)),LineTags,0)),IFERROR(INDEX(LOE_Temperatures,MATCH(C68,LOE_EquipNames,0)),INDEX(LOE_Temperatures,MATCH(C68,LOE_EquipTags,0))))</f>
        <v>37.447389715745032</v>
      </c>
      <c r="O68" s="78"/>
      <c r="P68" s="78"/>
      <c r="Q68" s="78">
        <f t="shared" ref="Q68:Q131" si="6">IFERROR(INDEX(FlowRates_kghr,MATCH(INDEX(LOL_LineTags,MATCH(C68,LOL_LineNumbers,0)),LineTags,0))/INDEX(Densities,MATCH(INDEX(LOL_LineTags,MATCH(C68,LOL_LineNumbers,0)),LineTags,0)),"")</f>
        <v>6.3324362095091216</v>
      </c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</row>
    <row r="69" spans="1:32" ht="24.95" customHeight="1" x14ac:dyDescent="0.25">
      <c r="A69" s="77">
        <f t="shared" ref="A69:A132" si="7">A68+1</f>
        <v>66</v>
      </c>
      <c r="B69" s="101" t="s">
        <v>716</v>
      </c>
      <c r="C69" s="78" t="str">
        <f>'LIST OF LINES'!$B$38</f>
        <v>80-40-SS-BW-17</v>
      </c>
      <c r="D69" s="78" t="s">
        <v>824</v>
      </c>
      <c r="E69" s="78" t="s">
        <v>823</v>
      </c>
      <c r="F69" s="78" t="s">
        <v>1100</v>
      </c>
      <c r="G69" s="78" t="s">
        <v>1101</v>
      </c>
      <c r="H69" s="78" t="s">
        <v>1102</v>
      </c>
      <c r="I69" s="78" t="s">
        <v>456</v>
      </c>
      <c r="J69" s="78"/>
      <c r="K69" s="78">
        <f t="shared" si="4"/>
        <v>2.5</v>
      </c>
      <c r="L69" s="78"/>
      <c r="M69" s="78"/>
      <c r="N69" s="78">
        <f t="shared" si="5"/>
        <v>37.447389715745032</v>
      </c>
      <c r="O69" s="78"/>
      <c r="P69" s="78"/>
      <c r="Q69" s="78">
        <f t="shared" si="6"/>
        <v>6.3324362095091216</v>
      </c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</row>
    <row r="70" spans="1:32" ht="24.95" customHeight="1" x14ac:dyDescent="0.25">
      <c r="A70" s="77">
        <f t="shared" si="7"/>
        <v>67</v>
      </c>
      <c r="B70" s="101" t="s">
        <v>716</v>
      </c>
      <c r="C70" s="78" t="str">
        <f>'LIST OF LINES'!$B$38</f>
        <v>80-40-SS-BW-17</v>
      </c>
      <c r="D70" s="78" t="s">
        <v>1198</v>
      </c>
      <c r="E70" s="78" t="s">
        <v>1197</v>
      </c>
      <c r="F70" s="78" t="s">
        <v>1100</v>
      </c>
      <c r="G70" s="78" t="s">
        <v>1106</v>
      </c>
      <c r="H70" s="78" t="s">
        <v>1191</v>
      </c>
      <c r="I70" s="78" t="s">
        <v>456</v>
      </c>
      <c r="J70" s="78"/>
      <c r="K70" s="78">
        <f t="shared" si="4"/>
        <v>2.5</v>
      </c>
      <c r="L70" s="78"/>
      <c r="M70" s="78"/>
      <c r="N70" s="78">
        <f t="shared" si="5"/>
        <v>37.447389715745032</v>
      </c>
      <c r="O70" s="78"/>
      <c r="P70" s="78"/>
      <c r="Q70" s="78">
        <f t="shared" si="6"/>
        <v>6.3324362095091216</v>
      </c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</row>
    <row r="71" spans="1:32" ht="24.95" customHeight="1" x14ac:dyDescent="0.25">
      <c r="A71" s="77">
        <f t="shared" si="7"/>
        <v>68</v>
      </c>
      <c r="B71" s="101" t="s">
        <v>716</v>
      </c>
      <c r="C71" s="78" t="str">
        <f>'LIST OF LINES'!$B$39</f>
        <v>80-40-SS-BW-18</v>
      </c>
      <c r="D71" s="78" t="s">
        <v>1199</v>
      </c>
      <c r="E71" s="78" t="s">
        <v>1200</v>
      </c>
      <c r="F71" s="78" t="s">
        <v>1116</v>
      </c>
      <c r="G71" s="78" t="s">
        <v>1106</v>
      </c>
      <c r="H71" s="78" t="s">
        <v>1191</v>
      </c>
      <c r="I71" s="78" t="s">
        <v>456</v>
      </c>
      <c r="J71" s="78"/>
      <c r="K71" s="78">
        <f t="shared" si="4"/>
        <v>2.5</v>
      </c>
      <c r="L71" s="78"/>
      <c r="M71" s="78"/>
      <c r="N71" s="78">
        <f t="shared" si="5"/>
        <v>37.447389715745032</v>
      </c>
      <c r="O71" s="78"/>
      <c r="P71" s="78"/>
      <c r="Q71" s="78">
        <f t="shared" si="6"/>
        <v>7.9934030841344637</v>
      </c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</row>
    <row r="72" spans="1:32" ht="24.95" customHeight="1" x14ac:dyDescent="0.25">
      <c r="A72" s="77">
        <f t="shared" si="7"/>
        <v>69</v>
      </c>
      <c r="B72" s="101" t="s">
        <v>716</v>
      </c>
      <c r="C72" s="78" t="str">
        <f>'LIST OF LINES'!$B$39</f>
        <v>80-40-SS-BW-18</v>
      </c>
      <c r="D72" s="78" t="s">
        <v>830</v>
      </c>
      <c r="E72" s="78" t="s">
        <v>829</v>
      </c>
      <c r="F72" s="78" t="s">
        <v>1100</v>
      </c>
      <c r="G72" s="78" t="s">
        <v>1101</v>
      </c>
      <c r="H72" s="78" t="s">
        <v>1102</v>
      </c>
      <c r="I72" s="78" t="s">
        <v>456</v>
      </c>
      <c r="J72" s="78"/>
      <c r="K72" s="78">
        <f t="shared" si="4"/>
        <v>2.5</v>
      </c>
      <c r="L72" s="78"/>
      <c r="M72" s="78"/>
      <c r="N72" s="78">
        <f t="shared" si="5"/>
        <v>37.447389715745032</v>
      </c>
      <c r="O72" s="78"/>
      <c r="P72" s="78"/>
      <c r="Q72" s="78">
        <f t="shared" si="6"/>
        <v>7.9934030841344637</v>
      </c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</row>
    <row r="73" spans="1:32" ht="24.95" customHeight="1" x14ac:dyDescent="0.25">
      <c r="A73" s="77">
        <f t="shared" si="7"/>
        <v>70</v>
      </c>
      <c r="B73" s="101" t="s">
        <v>716</v>
      </c>
      <c r="C73" s="78" t="str">
        <f>'LIST OF LINES'!$B$39</f>
        <v>80-40-SS-BW-18</v>
      </c>
      <c r="D73" s="78" t="s">
        <v>1201</v>
      </c>
      <c r="E73" s="78" t="s">
        <v>1200</v>
      </c>
      <c r="F73" s="78" t="s">
        <v>1100</v>
      </c>
      <c r="G73" s="78" t="s">
        <v>1106</v>
      </c>
      <c r="H73" s="78" t="s">
        <v>1191</v>
      </c>
      <c r="I73" s="78" t="s">
        <v>456</v>
      </c>
      <c r="J73" s="78"/>
      <c r="K73" s="78">
        <f t="shared" si="4"/>
        <v>2.5</v>
      </c>
      <c r="L73" s="78"/>
      <c r="M73" s="78"/>
      <c r="N73" s="78">
        <f t="shared" si="5"/>
        <v>37.447389715745032</v>
      </c>
      <c r="O73" s="78"/>
      <c r="P73" s="78"/>
      <c r="Q73" s="78">
        <f t="shared" si="6"/>
        <v>7.9934030841344637</v>
      </c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</row>
    <row r="74" spans="1:32" ht="24.95" customHeight="1" x14ac:dyDescent="0.25">
      <c r="A74" s="77">
        <f t="shared" si="7"/>
        <v>71</v>
      </c>
      <c r="B74" s="101" t="s">
        <v>716</v>
      </c>
      <c r="C74" s="78" t="str">
        <f>'LIST OF LINES'!$B$40</f>
        <v>80-40-SS-BW-19</v>
      </c>
      <c r="D74" s="78" t="s">
        <v>1202</v>
      </c>
      <c r="E74" s="78" t="s">
        <v>1203</v>
      </c>
      <c r="F74" s="78" t="s">
        <v>1116</v>
      </c>
      <c r="G74" s="78" t="s">
        <v>1106</v>
      </c>
      <c r="H74" s="78" t="s">
        <v>1191</v>
      </c>
      <c r="I74" s="78" t="s">
        <v>456</v>
      </c>
      <c r="J74" s="78"/>
      <c r="K74" s="78">
        <f t="shared" si="4"/>
        <v>2.5</v>
      </c>
      <c r="L74" s="78"/>
      <c r="M74" s="78"/>
      <c r="N74" s="78">
        <f t="shared" si="5"/>
        <v>37.447389715745032</v>
      </c>
      <c r="O74" s="78"/>
      <c r="P74" s="78"/>
      <c r="Q74" s="78">
        <f t="shared" si="6"/>
        <v>7.9934030841344637</v>
      </c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</row>
    <row r="75" spans="1:32" ht="24.95" customHeight="1" x14ac:dyDescent="0.25">
      <c r="A75" s="77">
        <f t="shared" si="7"/>
        <v>72</v>
      </c>
      <c r="B75" s="101" t="s">
        <v>716</v>
      </c>
      <c r="C75" s="78" t="str">
        <f>'LIST OF LINES'!$B$40</f>
        <v>80-40-SS-BW-19</v>
      </c>
      <c r="D75" s="78" t="s">
        <v>836</v>
      </c>
      <c r="E75" s="78" t="s">
        <v>835</v>
      </c>
      <c r="F75" s="78" t="s">
        <v>1100</v>
      </c>
      <c r="G75" s="78" t="s">
        <v>1101</v>
      </c>
      <c r="H75" s="78" t="s">
        <v>1102</v>
      </c>
      <c r="I75" s="78" t="s">
        <v>456</v>
      </c>
      <c r="J75" s="78"/>
      <c r="K75" s="78">
        <f t="shared" si="4"/>
        <v>2.5</v>
      </c>
      <c r="L75" s="78"/>
      <c r="M75" s="78"/>
      <c r="N75" s="78">
        <f t="shared" si="5"/>
        <v>37.447389715745032</v>
      </c>
      <c r="O75" s="78"/>
      <c r="P75" s="78"/>
      <c r="Q75" s="78">
        <f t="shared" si="6"/>
        <v>7.9934030841344637</v>
      </c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</row>
    <row r="76" spans="1:32" ht="24.95" customHeight="1" x14ac:dyDescent="0.25">
      <c r="A76" s="77">
        <f t="shared" si="7"/>
        <v>73</v>
      </c>
      <c r="B76" s="101" t="s">
        <v>716</v>
      </c>
      <c r="C76" s="78" t="str">
        <f>'LIST OF LINES'!$B$40</f>
        <v>80-40-SS-BW-19</v>
      </c>
      <c r="D76" s="78" t="s">
        <v>1204</v>
      </c>
      <c r="E76" s="78" t="s">
        <v>1203</v>
      </c>
      <c r="F76" s="78" t="s">
        <v>1100</v>
      </c>
      <c r="G76" s="78" t="s">
        <v>1106</v>
      </c>
      <c r="H76" s="78" t="s">
        <v>1191</v>
      </c>
      <c r="I76" s="78" t="s">
        <v>456</v>
      </c>
      <c r="J76" s="78"/>
      <c r="K76" s="78">
        <f t="shared" si="4"/>
        <v>2.5</v>
      </c>
      <c r="L76" s="78"/>
      <c r="M76" s="78"/>
      <c r="N76" s="78">
        <f t="shared" si="5"/>
        <v>37.447389715745032</v>
      </c>
      <c r="O76" s="78"/>
      <c r="P76" s="78"/>
      <c r="Q76" s="78">
        <f t="shared" si="6"/>
        <v>7.9934030841344637</v>
      </c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</row>
    <row r="77" spans="1:32" ht="24.95" customHeight="1" x14ac:dyDescent="0.25">
      <c r="A77" s="77">
        <f t="shared" si="7"/>
        <v>74</v>
      </c>
      <c r="B77" s="101" t="s">
        <v>716</v>
      </c>
      <c r="C77" s="78" t="str">
        <f>'LIST OF LINES'!$B$41</f>
        <v>80-40-SS-BW-20</v>
      </c>
      <c r="D77" s="78" t="s">
        <v>1205</v>
      </c>
      <c r="E77" s="78" t="s">
        <v>1206</v>
      </c>
      <c r="F77" s="78" t="s">
        <v>1116</v>
      </c>
      <c r="G77" s="78" t="s">
        <v>1106</v>
      </c>
      <c r="H77" s="78" t="s">
        <v>1191</v>
      </c>
      <c r="I77" s="78" t="s">
        <v>456</v>
      </c>
      <c r="J77" s="78"/>
      <c r="K77" s="78">
        <f t="shared" si="4"/>
        <v>2.5</v>
      </c>
      <c r="L77" s="78"/>
      <c r="M77" s="78"/>
      <c r="N77" s="78">
        <f t="shared" si="5"/>
        <v>37.447389715745032</v>
      </c>
      <c r="O77" s="78"/>
      <c r="P77" s="78"/>
      <c r="Q77" s="78">
        <f t="shared" si="6"/>
        <v>7.9934030841344637</v>
      </c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</row>
    <row r="78" spans="1:32" ht="24.95" customHeight="1" x14ac:dyDescent="0.25">
      <c r="A78" s="77">
        <f t="shared" si="7"/>
        <v>75</v>
      </c>
      <c r="B78" s="101" t="s">
        <v>716</v>
      </c>
      <c r="C78" s="78" t="str">
        <f>'LIST OF LINES'!$B$41</f>
        <v>80-40-SS-BW-20</v>
      </c>
      <c r="D78" s="78" t="s">
        <v>842</v>
      </c>
      <c r="E78" s="78" t="s">
        <v>841</v>
      </c>
      <c r="F78" s="78" t="s">
        <v>1100</v>
      </c>
      <c r="G78" s="78" t="s">
        <v>1101</v>
      </c>
      <c r="H78" s="78" t="s">
        <v>1102</v>
      </c>
      <c r="I78" s="78" t="s">
        <v>456</v>
      </c>
      <c r="J78" s="78"/>
      <c r="K78" s="78">
        <f t="shared" si="4"/>
        <v>2.5</v>
      </c>
      <c r="L78" s="78"/>
      <c r="M78" s="78"/>
      <c r="N78" s="78">
        <f t="shared" si="5"/>
        <v>37.447389715745032</v>
      </c>
      <c r="O78" s="78"/>
      <c r="P78" s="78"/>
      <c r="Q78" s="78">
        <f t="shared" si="6"/>
        <v>7.9934030841344637</v>
      </c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</row>
    <row r="79" spans="1:32" ht="24.95" customHeight="1" x14ac:dyDescent="0.25">
      <c r="A79" s="77">
        <f t="shared" si="7"/>
        <v>76</v>
      </c>
      <c r="B79" s="101" t="s">
        <v>716</v>
      </c>
      <c r="C79" s="78" t="str">
        <f>'LIST OF LINES'!$B$41</f>
        <v>80-40-SS-BW-20</v>
      </c>
      <c r="D79" s="78" t="s">
        <v>1207</v>
      </c>
      <c r="E79" s="78" t="s">
        <v>1206</v>
      </c>
      <c r="F79" s="78" t="s">
        <v>1100</v>
      </c>
      <c r="G79" s="78" t="s">
        <v>1106</v>
      </c>
      <c r="H79" s="78" t="s">
        <v>1191</v>
      </c>
      <c r="I79" s="78" t="s">
        <v>456</v>
      </c>
      <c r="J79" s="78"/>
      <c r="K79" s="78">
        <f t="shared" si="4"/>
        <v>2.5</v>
      </c>
      <c r="L79" s="78"/>
      <c r="M79" s="78"/>
      <c r="N79" s="78">
        <f t="shared" si="5"/>
        <v>37.447389715745032</v>
      </c>
      <c r="O79" s="78"/>
      <c r="P79" s="78"/>
      <c r="Q79" s="78">
        <f t="shared" si="6"/>
        <v>7.9934030841344637</v>
      </c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</row>
    <row r="80" spans="1:32" ht="24.95" customHeight="1" x14ac:dyDescent="0.25">
      <c r="A80" s="77">
        <f t="shared" si="7"/>
        <v>77</v>
      </c>
      <c r="B80" s="101" t="s">
        <v>716</v>
      </c>
      <c r="C80" s="78" t="str">
        <f>'LIST OF LINES'!$B$42</f>
        <v>80-40-SS-BW-21</v>
      </c>
      <c r="D80" s="78" t="s">
        <v>1208</v>
      </c>
      <c r="E80" s="78" t="s">
        <v>1209</v>
      </c>
      <c r="F80" s="78" t="s">
        <v>1116</v>
      </c>
      <c r="G80" s="78" t="s">
        <v>1106</v>
      </c>
      <c r="H80" s="78" t="s">
        <v>1191</v>
      </c>
      <c r="I80" s="78" t="s">
        <v>456</v>
      </c>
      <c r="J80" s="78"/>
      <c r="K80" s="78">
        <f t="shared" si="4"/>
        <v>2.5</v>
      </c>
      <c r="L80" s="78"/>
      <c r="M80" s="78"/>
      <c r="N80" s="78">
        <f t="shared" si="5"/>
        <v>37.447389715745032</v>
      </c>
      <c r="O80" s="78"/>
      <c r="P80" s="78"/>
      <c r="Q80" s="78">
        <f t="shared" si="6"/>
        <v>7.4743509358140461</v>
      </c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</row>
    <row r="81" spans="1:32" ht="24.95" customHeight="1" x14ac:dyDescent="0.25">
      <c r="A81" s="77">
        <f t="shared" si="7"/>
        <v>78</v>
      </c>
      <c r="B81" s="101" t="s">
        <v>716</v>
      </c>
      <c r="C81" s="78" t="str">
        <f>'LIST OF LINES'!$B$42</f>
        <v>80-40-SS-BW-21</v>
      </c>
      <c r="D81" s="78" t="s">
        <v>848</v>
      </c>
      <c r="E81" s="78" t="s">
        <v>847</v>
      </c>
      <c r="F81" s="78" t="s">
        <v>1100</v>
      </c>
      <c r="G81" s="78" t="s">
        <v>1101</v>
      </c>
      <c r="H81" s="78" t="s">
        <v>1102</v>
      </c>
      <c r="I81" s="78" t="s">
        <v>456</v>
      </c>
      <c r="J81" s="78"/>
      <c r="K81" s="78">
        <f t="shared" si="4"/>
        <v>2.5</v>
      </c>
      <c r="L81" s="78"/>
      <c r="M81" s="78"/>
      <c r="N81" s="78">
        <f t="shared" si="5"/>
        <v>37.447389715745032</v>
      </c>
      <c r="O81" s="78"/>
      <c r="P81" s="78"/>
      <c r="Q81" s="78">
        <f t="shared" si="6"/>
        <v>7.4743509358140461</v>
      </c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</row>
    <row r="82" spans="1:32" ht="24.95" customHeight="1" x14ac:dyDescent="0.25">
      <c r="A82" s="77">
        <f t="shared" si="7"/>
        <v>79</v>
      </c>
      <c r="B82" s="101" t="s">
        <v>716</v>
      </c>
      <c r="C82" s="78" t="str">
        <f>'LIST OF LINES'!$B$42</f>
        <v>80-40-SS-BW-21</v>
      </c>
      <c r="D82" s="78" t="s">
        <v>1210</v>
      </c>
      <c r="E82" s="78" t="s">
        <v>1209</v>
      </c>
      <c r="F82" s="78" t="s">
        <v>1100</v>
      </c>
      <c r="G82" s="78" t="s">
        <v>1106</v>
      </c>
      <c r="H82" s="78" t="s">
        <v>1191</v>
      </c>
      <c r="I82" s="78" t="s">
        <v>456</v>
      </c>
      <c r="J82" s="78"/>
      <c r="K82" s="78">
        <f t="shared" si="4"/>
        <v>2.5</v>
      </c>
      <c r="L82" s="78"/>
      <c r="M82" s="78"/>
      <c r="N82" s="78">
        <f t="shared" si="5"/>
        <v>37.447389715745032</v>
      </c>
      <c r="O82" s="78"/>
      <c r="P82" s="78"/>
      <c r="Q82" s="78">
        <f t="shared" si="6"/>
        <v>7.4743509358140461</v>
      </c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</row>
    <row r="83" spans="1:32" ht="24.95" customHeight="1" x14ac:dyDescent="0.25">
      <c r="A83" s="77">
        <f t="shared" si="7"/>
        <v>80</v>
      </c>
      <c r="B83" s="101" t="s">
        <v>716</v>
      </c>
      <c r="C83" s="78" t="str">
        <f>'LIST OF LINES'!$B$43</f>
        <v>80-40-SS-BW-22</v>
      </c>
      <c r="D83" s="78" t="s">
        <v>1211</v>
      </c>
      <c r="E83" s="78" t="s">
        <v>1212</v>
      </c>
      <c r="F83" s="78" t="s">
        <v>1116</v>
      </c>
      <c r="G83" s="78" t="s">
        <v>1106</v>
      </c>
      <c r="H83" s="78" t="s">
        <v>1191</v>
      </c>
      <c r="I83" s="78" t="s">
        <v>456</v>
      </c>
      <c r="J83" s="78"/>
      <c r="K83" s="78">
        <f t="shared" si="4"/>
        <v>2.5</v>
      </c>
      <c r="L83" s="78"/>
      <c r="M83" s="78"/>
      <c r="N83" s="78">
        <f t="shared" si="5"/>
        <v>37.447389715745032</v>
      </c>
      <c r="O83" s="78"/>
      <c r="P83" s="78"/>
      <c r="Q83" s="78">
        <f t="shared" si="6"/>
        <v>7.4743509358140461</v>
      </c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</row>
    <row r="84" spans="1:32" ht="24.95" customHeight="1" x14ac:dyDescent="0.25">
      <c r="A84" s="77">
        <f t="shared" si="7"/>
        <v>81</v>
      </c>
      <c r="B84" s="101" t="s">
        <v>716</v>
      </c>
      <c r="C84" s="78" t="str">
        <f>'LIST OF LINES'!$B$43</f>
        <v>80-40-SS-BW-22</v>
      </c>
      <c r="D84" s="78" t="s">
        <v>854</v>
      </c>
      <c r="E84" s="78" t="s">
        <v>853</v>
      </c>
      <c r="F84" s="78" t="s">
        <v>1100</v>
      </c>
      <c r="G84" s="78" t="s">
        <v>1101</v>
      </c>
      <c r="H84" s="78" t="s">
        <v>1102</v>
      </c>
      <c r="I84" s="78" t="s">
        <v>456</v>
      </c>
      <c r="J84" s="78"/>
      <c r="K84" s="78">
        <f t="shared" si="4"/>
        <v>2.5</v>
      </c>
      <c r="L84" s="78"/>
      <c r="M84" s="78"/>
      <c r="N84" s="78">
        <f t="shared" si="5"/>
        <v>37.447389715745032</v>
      </c>
      <c r="O84" s="78"/>
      <c r="P84" s="78"/>
      <c r="Q84" s="78">
        <f t="shared" si="6"/>
        <v>7.4743509358140461</v>
      </c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</row>
    <row r="85" spans="1:32" ht="24.95" customHeight="1" x14ac:dyDescent="0.25">
      <c r="A85" s="77">
        <f t="shared" si="7"/>
        <v>82</v>
      </c>
      <c r="B85" s="101" t="s">
        <v>716</v>
      </c>
      <c r="C85" s="78" t="str">
        <f>'LIST OF LINES'!$B$43</f>
        <v>80-40-SS-BW-22</v>
      </c>
      <c r="D85" s="78" t="s">
        <v>1213</v>
      </c>
      <c r="E85" s="78" t="s">
        <v>1212</v>
      </c>
      <c r="F85" s="78" t="s">
        <v>1100</v>
      </c>
      <c r="G85" s="78" t="s">
        <v>1106</v>
      </c>
      <c r="H85" s="78" t="s">
        <v>1191</v>
      </c>
      <c r="I85" s="78" t="s">
        <v>456</v>
      </c>
      <c r="J85" s="78"/>
      <c r="K85" s="78">
        <f t="shared" si="4"/>
        <v>2.5</v>
      </c>
      <c r="L85" s="78"/>
      <c r="M85" s="78"/>
      <c r="N85" s="78">
        <f t="shared" si="5"/>
        <v>37.447389715745032</v>
      </c>
      <c r="O85" s="78"/>
      <c r="P85" s="78"/>
      <c r="Q85" s="78">
        <f t="shared" si="6"/>
        <v>7.4743509358140461</v>
      </c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</row>
    <row r="86" spans="1:32" ht="24.95" customHeight="1" x14ac:dyDescent="0.25">
      <c r="A86" s="77">
        <f t="shared" si="7"/>
        <v>83</v>
      </c>
      <c r="B86" s="101" t="s">
        <v>716</v>
      </c>
      <c r="C86" s="78" t="str">
        <f>'LIST OF LINES'!$B$44</f>
        <v>80-40-SS-BW-23</v>
      </c>
      <c r="D86" s="78" t="s">
        <v>1214</v>
      </c>
      <c r="E86" s="78" t="s">
        <v>1215</v>
      </c>
      <c r="F86" s="78" t="s">
        <v>1116</v>
      </c>
      <c r="G86" s="78" t="s">
        <v>1106</v>
      </c>
      <c r="H86" s="78" t="s">
        <v>1191</v>
      </c>
      <c r="I86" s="78" t="s">
        <v>456</v>
      </c>
      <c r="J86" s="78"/>
      <c r="K86" s="78">
        <f t="shared" si="4"/>
        <v>2.5</v>
      </c>
      <c r="L86" s="78"/>
      <c r="M86" s="78"/>
      <c r="N86" s="78">
        <f t="shared" si="5"/>
        <v>37.447389715745032</v>
      </c>
      <c r="O86" s="78"/>
      <c r="P86" s="78"/>
      <c r="Q86" s="78">
        <f t="shared" si="6"/>
        <v>7.4743509358140461</v>
      </c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</row>
    <row r="87" spans="1:32" ht="24.95" customHeight="1" x14ac:dyDescent="0.25">
      <c r="A87" s="77">
        <f t="shared" si="7"/>
        <v>84</v>
      </c>
      <c r="B87" s="101" t="s">
        <v>716</v>
      </c>
      <c r="C87" s="78" t="str">
        <f>'LIST OF LINES'!$B$44</f>
        <v>80-40-SS-BW-23</v>
      </c>
      <c r="D87" s="78" t="s">
        <v>860</v>
      </c>
      <c r="E87" s="78" t="s">
        <v>859</v>
      </c>
      <c r="F87" s="78" t="s">
        <v>1100</v>
      </c>
      <c r="G87" s="78" t="s">
        <v>1101</v>
      </c>
      <c r="H87" s="78" t="s">
        <v>1102</v>
      </c>
      <c r="I87" s="78" t="s">
        <v>456</v>
      </c>
      <c r="J87" s="78"/>
      <c r="K87" s="78">
        <f t="shared" si="4"/>
        <v>2.5</v>
      </c>
      <c r="L87" s="78"/>
      <c r="M87" s="78"/>
      <c r="N87" s="78">
        <f t="shared" si="5"/>
        <v>37.447389715745032</v>
      </c>
      <c r="O87" s="78"/>
      <c r="P87" s="78"/>
      <c r="Q87" s="78">
        <f t="shared" si="6"/>
        <v>7.4743509358140461</v>
      </c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</row>
    <row r="88" spans="1:32" ht="24.95" customHeight="1" x14ac:dyDescent="0.25">
      <c r="A88" s="77">
        <f t="shared" si="7"/>
        <v>85</v>
      </c>
      <c r="B88" s="101" t="s">
        <v>716</v>
      </c>
      <c r="C88" s="78" t="str">
        <f>'LIST OF LINES'!$B$44</f>
        <v>80-40-SS-BW-23</v>
      </c>
      <c r="D88" s="78" t="s">
        <v>1216</v>
      </c>
      <c r="E88" s="78" t="s">
        <v>1215</v>
      </c>
      <c r="F88" s="78" t="s">
        <v>1100</v>
      </c>
      <c r="G88" s="78" t="s">
        <v>1106</v>
      </c>
      <c r="H88" s="78" t="s">
        <v>1191</v>
      </c>
      <c r="I88" s="78" t="s">
        <v>456</v>
      </c>
      <c r="J88" s="78"/>
      <c r="K88" s="78">
        <f t="shared" si="4"/>
        <v>2.5</v>
      </c>
      <c r="L88" s="78"/>
      <c r="M88" s="78"/>
      <c r="N88" s="78">
        <f t="shared" si="5"/>
        <v>37.447389715745032</v>
      </c>
      <c r="O88" s="78"/>
      <c r="P88" s="78"/>
      <c r="Q88" s="78">
        <f t="shared" si="6"/>
        <v>7.4743509358140461</v>
      </c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</row>
    <row r="89" spans="1:32" ht="24.95" customHeight="1" x14ac:dyDescent="0.25">
      <c r="A89" s="77">
        <f t="shared" si="7"/>
        <v>86</v>
      </c>
      <c r="B89" s="101" t="s">
        <v>716</v>
      </c>
      <c r="C89" s="78" t="str">
        <f>LIST_OF_EQUIPMENT!$B$5</f>
        <v>MED - E1</v>
      </c>
      <c r="D89" s="78" t="s">
        <v>1217</v>
      </c>
      <c r="E89" s="78" t="s">
        <v>1218</v>
      </c>
      <c r="F89" s="78" t="s">
        <v>1100</v>
      </c>
      <c r="G89" s="78" t="s">
        <v>1106</v>
      </c>
      <c r="H89" s="78" t="s">
        <v>1102</v>
      </c>
      <c r="I89" s="78" t="s">
        <v>481</v>
      </c>
      <c r="J89" s="78"/>
      <c r="K89" s="78">
        <f t="shared" si="4"/>
        <v>0.32045999999999997</v>
      </c>
      <c r="L89" s="78"/>
      <c r="M89" s="78"/>
      <c r="N89" s="78">
        <f t="shared" si="5"/>
        <v>70.599999999999994</v>
      </c>
      <c r="O89" s="78"/>
      <c r="P89" s="78"/>
      <c r="Q89" s="78" t="str">
        <f t="shared" si="6"/>
        <v/>
      </c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</row>
    <row r="90" spans="1:32" ht="24.95" customHeight="1" x14ac:dyDescent="0.25">
      <c r="A90" s="77">
        <f t="shared" si="7"/>
        <v>87</v>
      </c>
      <c r="B90" s="101" t="s">
        <v>716</v>
      </c>
      <c r="C90" s="78" t="str">
        <f>LIST_OF_EQUIPMENT!$B$5</f>
        <v>MED - E1</v>
      </c>
      <c r="D90" s="78" t="s">
        <v>1219</v>
      </c>
      <c r="E90" s="78" t="s">
        <v>1220</v>
      </c>
      <c r="F90" s="78" t="s">
        <v>1100</v>
      </c>
      <c r="G90" s="78" t="s">
        <v>1106</v>
      </c>
      <c r="H90" s="78" t="s">
        <v>1142</v>
      </c>
      <c r="I90" s="78" t="s">
        <v>481</v>
      </c>
      <c r="J90" s="78"/>
      <c r="K90" s="78">
        <f t="shared" si="4"/>
        <v>0.32045999999999997</v>
      </c>
      <c r="L90" s="78"/>
      <c r="M90" s="78"/>
      <c r="N90" s="78">
        <f t="shared" si="5"/>
        <v>70.599999999999994</v>
      </c>
      <c r="O90" s="78"/>
      <c r="P90" s="78"/>
      <c r="Q90" s="78" t="str">
        <f t="shared" si="6"/>
        <v/>
      </c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</row>
    <row r="91" spans="1:32" ht="24.95" customHeight="1" x14ac:dyDescent="0.25">
      <c r="A91" s="77">
        <f t="shared" si="7"/>
        <v>88</v>
      </c>
      <c r="B91" s="101" t="s">
        <v>716</v>
      </c>
      <c r="C91" s="78" t="str">
        <f>LIST_OF_EQUIPMENT!$B$5</f>
        <v>MED - E1</v>
      </c>
      <c r="D91" s="78" t="s">
        <v>1221</v>
      </c>
      <c r="E91" s="78" t="s">
        <v>1220</v>
      </c>
      <c r="F91" s="78" t="s">
        <v>1100</v>
      </c>
      <c r="G91" s="78" t="s">
        <v>1106</v>
      </c>
      <c r="H91" s="78" t="s">
        <v>1142</v>
      </c>
      <c r="I91" s="78" t="s">
        <v>481</v>
      </c>
      <c r="J91" s="78"/>
      <c r="K91" s="78">
        <f t="shared" si="4"/>
        <v>0.32045999999999997</v>
      </c>
      <c r="L91" s="78"/>
      <c r="M91" s="78"/>
      <c r="N91" s="78">
        <f t="shared" si="5"/>
        <v>70.599999999999994</v>
      </c>
      <c r="O91" s="78"/>
      <c r="P91" s="78"/>
      <c r="Q91" s="78" t="str">
        <f t="shared" si="6"/>
        <v/>
      </c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</row>
    <row r="92" spans="1:32" ht="24.95" customHeight="1" x14ac:dyDescent="0.25">
      <c r="A92" s="77">
        <f t="shared" si="7"/>
        <v>89</v>
      </c>
      <c r="B92" s="101" t="s">
        <v>716</v>
      </c>
      <c r="C92" s="78" t="str">
        <f>LIST_OF_EQUIPMENT!$B$5</f>
        <v>MED - E1</v>
      </c>
      <c r="D92" s="78" t="s">
        <v>1222</v>
      </c>
      <c r="E92" s="78" t="s">
        <v>1223</v>
      </c>
      <c r="F92" s="78" t="s">
        <v>1100</v>
      </c>
      <c r="G92" s="78" t="s">
        <v>1101</v>
      </c>
      <c r="H92" s="78" t="s">
        <v>1102</v>
      </c>
      <c r="I92" s="78" t="s">
        <v>481</v>
      </c>
      <c r="J92" s="78"/>
      <c r="K92" s="78">
        <f t="shared" si="4"/>
        <v>0.32045999999999997</v>
      </c>
      <c r="L92" s="78"/>
      <c r="M92" s="78"/>
      <c r="N92" s="78">
        <f t="shared" si="5"/>
        <v>70.599999999999994</v>
      </c>
      <c r="O92" s="78"/>
      <c r="P92" s="78"/>
      <c r="Q92" s="78" t="str">
        <f t="shared" si="6"/>
        <v/>
      </c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</row>
    <row r="93" spans="1:32" ht="24.95" customHeight="1" x14ac:dyDescent="0.25">
      <c r="A93" s="77">
        <f t="shared" si="7"/>
        <v>90</v>
      </c>
      <c r="B93" s="101" t="s">
        <v>716</v>
      </c>
      <c r="C93" s="78" t="str">
        <f>LIST_OF_EQUIPMENT!$B$5</f>
        <v>MED - E1</v>
      </c>
      <c r="D93" s="78" t="s">
        <v>1224</v>
      </c>
      <c r="E93" s="78" t="s">
        <v>1225</v>
      </c>
      <c r="F93" s="78" t="s">
        <v>1100</v>
      </c>
      <c r="G93" s="78" t="s">
        <v>1101</v>
      </c>
      <c r="H93" s="78" t="s">
        <v>1102</v>
      </c>
      <c r="I93" s="78" t="s">
        <v>481</v>
      </c>
      <c r="J93" s="78"/>
      <c r="K93" s="78">
        <f t="shared" si="4"/>
        <v>0.32045999999999997</v>
      </c>
      <c r="L93" s="78"/>
      <c r="M93" s="78"/>
      <c r="N93" s="78">
        <f t="shared" si="5"/>
        <v>70.599999999999994</v>
      </c>
      <c r="O93" s="78"/>
      <c r="P93" s="78"/>
      <c r="Q93" s="78" t="str">
        <f t="shared" si="6"/>
        <v/>
      </c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</row>
    <row r="94" spans="1:32" ht="24.95" customHeight="1" x14ac:dyDescent="0.25">
      <c r="A94" s="77">
        <f t="shared" si="7"/>
        <v>91</v>
      </c>
      <c r="B94" s="101" t="s">
        <v>716</v>
      </c>
      <c r="C94" s="79" t="str">
        <f>'LIST OF LINES'!B46</f>
        <v>100-40-SS-DW-01</v>
      </c>
      <c r="D94" s="78" t="s">
        <v>1226</v>
      </c>
      <c r="E94" s="79" t="s">
        <v>1227</v>
      </c>
      <c r="F94" s="78" t="s">
        <v>1100</v>
      </c>
      <c r="G94" s="78" t="s">
        <v>1106</v>
      </c>
      <c r="H94" s="78" t="s">
        <v>1102</v>
      </c>
      <c r="I94" s="78" t="s">
        <v>481</v>
      </c>
      <c r="J94" s="78"/>
      <c r="K94" s="78">
        <f t="shared" si="4"/>
        <v>0</v>
      </c>
      <c r="L94" s="78"/>
      <c r="M94" s="78"/>
      <c r="N94" s="78">
        <f t="shared" si="5"/>
        <v>70.59</v>
      </c>
      <c r="O94" s="78"/>
      <c r="P94" s="78"/>
      <c r="Q94" s="78">
        <f t="shared" si="6"/>
        <v>6.8500082993599367</v>
      </c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</row>
    <row r="95" spans="1:32" ht="24.95" customHeight="1" x14ac:dyDescent="0.25">
      <c r="A95" s="77">
        <f t="shared" si="7"/>
        <v>92</v>
      </c>
      <c r="B95" s="101" t="s">
        <v>716</v>
      </c>
      <c r="C95" s="78" t="str">
        <f>LIST_OF_EQUIPMENT!B6</f>
        <v>MED - E2</v>
      </c>
      <c r="D95" s="78" t="s">
        <v>1228</v>
      </c>
      <c r="E95" s="78" t="s">
        <v>1218</v>
      </c>
      <c r="F95" s="78" t="s">
        <v>1100</v>
      </c>
      <c r="G95" s="78" t="s">
        <v>1106</v>
      </c>
      <c r="H95" s="78" t="s">
        <v>1102</v>
      </c>
      <c r="I95" s="78" t="s">
        <v>481</v>
      </c>
      <c r="J95" s="78"/>
      <c r="K95" s="78">
        <f t="shared" si="4"/>
        <v>0.25939999999999996</v>
      </c>
      <c r="L95" s="78"/>
      <c r="M95" s="78"/>
      <c r="N95" s="78">
        <f t="shared" si="5"/>
        <v>66.55</v>
      </c>
      <c r="O95" s="78"/>
      <c r="P95" s="78"/>
      <c r="Q95" s="78" t="str">
        <f t="shared" si="6"/>
        <v/>
      </c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</row>
    <row r="96" spans="1:32" ht="24.95" customHeight="1" x14ac:dyDescent="0.25">
      <c r="A96" s="77">
        <f t="shared" si="7"/>
        <v>93</v>
      </c>
      <c r="B96" s="101" t="s">
        <v>716</v>
      </c>
      <c r="C96" s="79" t="str">
        <f>'LIST OF LINES'!B47</f>
        <v>150-40-SS-DW-02</v>
      </c>
      <c r="D96" s="78" t="s">
        <v>1229</v>
      </c>
      <c r="E96" s="79" t="s">
        <v>1230</v>
      </c>
      <c r="F96" s="78" t="s">
        <v>1100</v>
      </c>
      <c r="G96" s="78" t="s">
        <v>1106</v>
      </c>
      <c r="H96" s="78" t="s">
        <v>1102</v>
      </c>
      <c r="I96" s="78" t="s">
        <v>481</v>
      </c>
      <c r="J96" s="78"/>
      <c r="K96" s="78">
        <f t="shared" si="4"/>
        <v>0</v>
      </c>
      <c r="L96" s="78"/>
      <c r="M96" s="78"/>
      <c r="N96" s="78">
        <f t="shared" si="5"/>
        <v>65.739999999999995</v>
      </c>
      <c r="O96" s="78"/>
      <c r="P96" s="78"/>
      <c r="Q96" s="78">
        <f t="shared" si="6"/>
        <v>12.294535357903543</v>
      </c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</row>
    <row r="97" spans="1:32" ht="24.95" customHeight="1" x14ac:dyDescent="0.25">
      <c r="A97" s="77">
        <f t="shared" si="7"/>
        <v>94</v>
      </c>
      <c r="B97" s="101" t="s">
        <v>716</v>
      </c>
      <c r="C97" s="78" t="str">
        <f>LIST_OF_EQUIPMENT!B7</f>
        <v>MED - E3</v>
      </c>
      <c r="D97" s="78" t="s">
        <v>1231</v>
      </c>
      <c r="E97" s="78" t="s">
        <v>1218</v>
      </c>
      <c r="F97" s="78" t="s">
        <v>1100</v>
      </c>
      <c r="G97" s="78" t="s">
        <v>1106</v>
      </c>
      <c r="H97" s="78" t="s">
        <v>1102</v>
      </c>
      <c r="I97" s="78" t="s">
        <v>481</v>
      </c>
      <c r="J97" s="78"/>
      <c r="K97" s="78">
        <f t="shared" si="4"/>
        <v>0.21959999999999999</v>
      </c>
      <c r="L97" s="78"/>
      <c r="M97" s="78"/>
      <c r="N97" s="78">
        <f t="shared" si="5"/>
        <v>62.81</v>
      </c>
      <c r="O97" s="78"/>
      <c r="P97" s="78"/>
      <c r="Q97" s="78" t="str">
        <f t="shared" si="6"/>
        <v/>
      </c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</row>
    <row r="98" spans="1:32" ht="24.95" customHeight="1" x14ac:dyDescent="0.25">
      <c r="A98" s="77">
        <f t="shared" si="7"/>
        <v>95</v>
      </c>
      <c r="B98" s="101" t="s">
        <v>716</v>
      </c>
      <c r="C98" s="79" t="str">
        <f>'LIST OF LINES'!B48</f>
        <v>150-40-SS-DW-03</v>
      </c>
      <c r="D98" s="78" t="s">
        <v>1232</v>
      </c>
      <c r="E98" s="79" t="s">
        <v>1233</v>
      </c>
      <c r="F98" s="78" t="s">
        <v>1100</v>
      </c>
      <c r="G98" s="78" t="s">
        <v>1106</v>
      </c>
      <c r="H98" s="78" t="s">
        <v>1102</v>
      </c>
      <c r="I98" s="78" t="s">
        <v>481</v>
      </c>
      <c r="J98" s="78"/>
      <c r="K98" s="78">
        <f t="shared" si="4"/>
        <v>0</v>
      </c>
      <c r="L98" s="78"/>
      <c r="M98" s="78"/>
      <c r="N98" s="78">
        <f t="shared" si="5"/>
        <v>62.02</v>
      </c>
      <c r="O98" s="78"/>
      <c r="P98" s="78"/>
      <c r="Q98" s="78">
        <f t="shared" si="6"/>
        <v>17.002536050159904</v>
      </c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</row>
    <row r="99" spans="1:32" ht="24.95" customHeight="1" x14ac:dyDescent="0.25">
      <c r="A99" s="77">
        <f t="shared" si="7"/>
        <v>96</v>
      </c>
      <c r="B99" s="101" t="s">
        <v>716</v>
      </c>
      <c r="C99" s="78" t="str">
        <f>LIST_OF_EQUIPMENT!B7</f>
        <v>MED - E3</v>
      </c>
      <c r="D99" s="78" t="s">
        <v>1234</v>
      </c>
      <c r="E99" s="78"/>
      <c r="F99" s="78" t="s">
        <v>1100</v>
      </c>
      <c r="G99" s="78" t="s">
        <v>1106</v>
      </c>
      <c r="H99" s="78" t="s">
        <v>1102</v>
      </c>
      <c r="I99" s="78" t="s">
        <v>481</v>
      </c>
      <c r="J99" s="78"/>
      <c r="K99" s="78">
        <f t="shared" si="4"/>
        <v>0.21959999999999999</v>
      </c>
      <c r="L99" s="78"/>
      <c r="M99" s="78"/>
      <c r="N99" s="78">
        <f t="shared" si="5"/>
        <v>62.81</v>
      </c>
      <c r="O99" s="78"/>
      <c r="P99" s="78"/>
      <c r="Q99" s="78" t="str">
        <f t="shared" si="6"/>
        <v/>
      </c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</row>
    <row r="100" spans="1:32" ht="24.95" customHeight="1" x14ac:dyDescent="0.25">
      <c r="A100" s="77">
        <f t="shared" si="7"/>
        <v>97</v>
      </c>
      <c r="B100" s="101" t="s">
        <v>716</v>
      </c>
      <c r="C100" s="78" t="str">
        <f>LIST_OF_EQUIPMENT!B8</f>
        <v>MED - E4</v>
      </c>
      <c r="D100" s="78" t="s">
        <v>1235</v>
      </c>
      <c r="E100" s="78" t="s">
        <v>1218</v>
      </c>
      <c r="F100" s="78" t="s">
        <v>1100</v>
      </c>
      <c r="G100" s="78" t="s">
        <v>1106</v>
      </c>
      <c r="H100" s="78" t="s">
        <v>1102</v>
      </c>
      <c r="I100" s="78" t="s">
        <v>481</v>
      </c>
      <c r="J100" s="78"/>
      <c r="K100" s="78">
        <f t="shared" si="4"/>
        <v>0.188</v>
      </c>
      <c r="L100" s="78"/>
      <c r="M100" s="78"/>
      <c r="N100" s="78">
        <f t="shared" si="5"/>
        <v>59.4</v>
      </c>
      <c r="O100" s="78"/>
      <c r="P100" s="78"/>
      <c r="Q100" s="78" t="str">
        <f t="shared" si="6"/>
        <v/>
      </c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</row>
    <row r="101" spans="1:32" ht="24.95" customHeight="1" x14ac:dyDescent="0.25">
      <c r="A101" s="77">
        <f t="shared" si="7"/>
        <v>98</v>
      </c>
      <c r="B101" s="101" t="s">
        <v>716</v>
      </c>
      <c r="C101" s="79" t="str">
        <f>'LIST OF LINES'!B49</f>
        <v>200-40-SS-DW-04</v>
      </c>
      <c r="D101" s="78" t="s">
        <v>1236</v>
      </c>
      <c r="E101" s="79" t="s">
        <v>1237</v>
      </c>
      <c r="F101" s="78" t="s">
        <v>1100</v>
      </c>
      <c r="G101" s="78" t="s">
        <v>1106</v>
      </c>
      <c r="H101" s="78" t="s">
        <v>1102</v>
      </c>
      <c r="I101" s="78" t="s">
        <v>481</v>
      </c>
      <c r="J101" s="78"/>
      <c r="K101" s="78">
        <f t="shared" si="4"/>
        <v>0</v>
      </c>
      <c r="L101" s="78"/>
      <c r="M101" s="78"/>
      <c r="N101" s="78">
        <f t="shared" si="5"/>
        <v>58.62</v>
      </c>
      <c r="O101" s="78"/>
      <c r="P101" s="78"/>
      <c r="Q101" s="78">
        <f t="shared" si="6"/>
        <v>21.194723497774572</v>
      </c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</row>
    <row r="102" spans="1:32" ht="24.95" customHeight="1" x14ac:dyDescent="0.25">
      <c r="A102" s="77">
        <f t="shared" si="7"/>
        <v>99</v>
      </c>
      <c r="B102" s="101" t="s">
        <v>716</v>
      </c>
      <c r="C102" s="78" t="str">
        <f>LIST_OF_EQUIPMENT!B9</f>
        <v>MED - E5</v>
      </c>
      <c r="D102" s="78" t="s">
        <v>1238</v>
      </c>
      <c r="E102" s="78" t="s">
        <v>1218</v>
      </c>
      <c r="F102" s="78" t="s">
        <v>1100</v>
      </c>
      <c r="G102" s="78" t="s">
        <v>1106</v>
      </c>
      <c r="H102" s="78" t="s">
        <v>1102</v>
      </c>
      <c r="I102" s="78" t="s">
        <v>481</v>
      </c>
      <c r="J102" s="78"/>
      <c r="K102" s="78">
        <f t="shared" si="4"/>
        <v>0.1618</v>
      </c>
      <c r="L102" s="78"/>
      <c r="M102" s="78"/>
      <c r="N102" s="78">
        <f t="shared" si="5"/>
        <v>56.2</v>
      </c>
      <c r="O102" s="78"/>
      <c r="P102" s="78"/>
      <c r="Q102" s="78" t="str">
        <f t="shared" si="6"/>
        <v/>
      </c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</row>
    <row r="103" spans="1:32" ht="24.95" customHeight="1" x14ac:dyDescent="0.25">
      <c r="A103" s="77">
        <f t="shared" si="7"/>
        <v>100</v>
      </c>
      <c r="B103" s="101" t="s">
        <v>716</v>
      </c>
      <c r="C103" s="79" t="str">
        <f>'LIST OF LINES'!B50</f>
        <v>200-40-SS-DW-05</v>
      </c>
      <c r="D103" s="78" t="s">
        <v>1239</v>
      </c>
      <c r="E103" s="79" t="s">
        <v>1240</v>
      </c>
      <c r="F103" s="78" t="s">
        <v>1100</v>
      </c>
      <c r="G103" s="78" t="s">
        <v>1106</v>
      </c>
      <c r="H103" s="78" t="s">
        <v>1102</v>
      </c>
      <c r="I103" s="78" t="s">
        <v>481</v>
      </c>
      <c r="J103" s="78"/>
      <c r="K103" s="78">
        <f t="shared" si="4"/>
        <v>0</v>
      </c>
      <c r="L103" s="78"/>
      <c r="M103" s="78"/>
      <c r="N103" s="78">
        <f t="shared" si="5"/>
        <v>55.43</v>
      </c>
      <c r="O103" s="78"/>
      <c r="P103" s="78"/>
      <c r="Q103" s="78">
        <f t="shared" si="6"/>
        <v>25.12746032161699</v>
      </c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</row>
    <row r="104" spans="1:32" ht="24.95" customHeight="1" x14ac:dyDescent="0.25">
      <c r="A104" s="77">
        <f t="shared" si="7"/>
        <v>101</v>
      </c>
      <c r="B104" s="101" t="s">
        <v>716</v>
      </c>
      <c r="C104" s="78" t="str">
        <f>LIST_OF_EQUIPMENT!B10</f>
        <v>MED - E6</v>
      </c>
      <c r="D104" s="78" t="s">
        <v>1241</v>
      </c>
      <c r="E104" s="78" t="s">
        <v>1218</v>
      </c>
      <c r="F104" s="78" t="s">
        <v>1100</v>
      </c>
      <c r="G104" s="78" t="s">
        <v>1106</v>
      </c>
      <c r="H104" s="78" t="s">
        <v>1102</v>
      </c>
      <c r="I104" s="78" t="s">
        <v>481</v>
      </c>
      <c r="J104" s="78"/>
      <c r="K104" s="78">
        <f t="shared" si="4"/>
        <v>0.13950000000000001</v>
      </c>
      <c r="L104" s="78"/>
      <c r="M104" s="78"/>
      <c r="N104" s="78">
        <f t="shared" si="5"/>
        <v>53.1</v>
      </c>
      <c r="O104" s="78"/>
      <c r="P104" s="78"/>
      <c r="Q104" s="78" t="str">
        <f t="shared" si="6"/>
        <v/>
      </c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</row>
    <row r="105" spans="1:32" ht="24.95" customHeight="1" x14ac:dyDescent="0.25">
      <c r="A105" s="77">
        <f t="shared" si="7"/>
        <v>102</v>
      </c>
      <c r="B105" s="101" t="s">
        <v>716</v>
      </c>
      <c r="C105" s="79" t="str">
        <f>'LIST OF LINES'!B51</f>
        <v>200-40-SS-DW-06</v>
      </c>
      <c r="D105" s="78" t="s">
        <v>1242</v>
      </c>
      <c r="E105" s="79" t="s">
        <v>1243</v>
      </c>
      <c r="F105" s="78" t="s">
        <v>1100</v>
      </c>
      <c r="G105" s="78" t="s">
        <v>1106</v>
      </c>
      <c r="H105" s="78" t="s">
        <v>1102</v>
      </c>
      <c r="I105" s="78" t="s">
        <v>481</v>
      </c>
      <c r="J105" s="78"/>
      <c r="K105" s="78">
        <f t="shared" si="4"/>
        <v>0</v>
      </c>
      <c r="L105" s="78"/>
      <c r="M105" s="78"/>
      <c r="N105" s="78">
        <f t="shared" si="5"/>
        <v>52.33</v>
      </c>
      <c r="O105" s="78"/>
      <c r="P105" s="78"/>
      <c r="Q105" s="78">
        <f t="shared" si="6"/>
        <v>28.910337498603695</v>
      </c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</row>
    <row r="106" spans="1:32" ht="24.95" customHeight="1" x14ac:dyDescent="0.25">
      <c r="A106" s="77">
        <f t="shared" si="7"/>
        <v>103</v>
      </c>
      <c r="B106" s="101" t="s">
        <v>716</v>
      </c>
      <c r="C106" s="78" t="str">
        <f>LIST_OF_EQUIPMENT!B10</f>
        <v>MED - E6</v>
      </c>
      <c r="D106" s="78" t="s">
        <v>1244</v>
      </c>
      <c r="E106" s="78"/>
      <c r="F106" s="78" t="s">
        <v>1100</v>
      </c>
      <c r="G106" s="78" t="s">
        <v>1106</v>
      </c>
      <c r="H106" s="78" t="s">
        <v>1102</v>
      </c>
      <c r="I106" s="78" t="s">
        <v>481</v>
      </c>
      <c r="J106" s="78"/>
      <c r="K106" s="78">
        <f t="shared" si="4"/>
        <v>0.13950000000000001</v>
      </c>
      <c r="L106" s="78"/>
      <c r="M106" s="78"/>
      <c r="N106" s="78">
        <f t="shared" si="5"/>
        <v>53.1</v>
      </c>
      <c r="O106" s="78"/>
      <c r="P106" s="78"/>
      <c r="Q106" s="78" t="str">
        <f t="shared" si="6"/>
        <v/>
      </c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</row>
    <row r="107" spans="1:32" ht="24.95" customHeight="1" x14ac:dyDescent="0.25">
      <c r="A107" s="77">
        <f t="shared" si="7"/>
        <v>104</v>
      </c>
      <c r="B107" s="101" t="s">
        <v>716</v>
      </c>
      <c r="C107" s="78" t="str">
        <f>LIST_OF_EQUIPMENT!B11</f>
        <v>MED - E7</v>
      </c>
      <c r="D107" s="78" t="s">
        <v>1245</v>
      </c>
      <c r="E107" s="78" t="s">
        <v>1218</v>
      </c>
      <c r="F107" s="78" t="s">
        <v>1100</v>
      </c>
      <c r="G107" s="78" t="s">
        <v>1106</v>
      </c>
      <c r="H107" s="78" t="s">
        <v>1102</v>
      </c>
      <c r="I107" s="78" t="s">
        <v>481</v>
      </c>
      <c r="J107" s="78"/>
      <c r="K107" s="78">
        <f t="shared" si="4"/>
        <v>0.1198</v>
      </c>
      <c r="L107" s="78"/>
      <c r="M107" s="78"/>
      <c r="N107" s="78">
        <f t="shared" si="5"/>
        <v>50</v>
      </c>
      <c r="O107" s="78"/>
      <c r="P107" s="78"/>
      <c r="Q107" s="78" t="str">
        <f t="shared" si="6"/>
        <v/>
      </c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</row>
    <row r="108" spans="1:32" ht="24.95" customHeight="1" x14ac:dyDescent="0.25">
      <c r="A108" s="77">
        <f t="shared" si="7"/>
        <v>105</v>
      </c>
      <c r="B108" s="101" t="s">
        <v>716</v>
      </c>
      <c r="C108" s="79" t="str">
        <f>'LIST OF LINES'!B52</f>
        <v>200-40-SS-DW-07</v>
      </c>
      <c r="D108" s="78" t="s">
        <v>1246</v>
      </c>
      <c r="E108" s="79" t="s">
        <v>1247</v>
      </c>
      <c r="F108" s="78" t="s">
        <v>1100</v>
      </c>
      <c r="G108" s="78" t="s">
        <v>1106</v>
      </c>
      <c r="H108" s="78" t="s">
        <v>1102</v>
      </c>
      <c r="I108" s="78" t="s">
        <v>481</v>
      </c>
      <c r="J108" s="78"/>
      <c r="K108" s="78">
        <f t="shared" si="4"/>
        <v>0</v>
      </c>
      <c r="L108" s="78"/>
      <c r="M108" s="78"/>
      <c r="N108" s="78">
        <f t="shared" si="5"/>
        <v>49.23</v>
      </c>
      <c r="O108" s="78"/>
      <c r="P108" s="78"/>
      <c r="Q108" s="78">
        <f t="shared" si="6"/>
        <v>32.797171575784631</v>
      </c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</row>
    <row r="109" spans="1:32" ht="24.95" customHeight="1" x14ac:dyDescent="0.25">
      <c r="A109" s="77">
        <f t="shared" si="7"/>
        <v>106</v>
      </c>
      <c r="B109" s="101" t="s">
        <v>716</v>
      </c>
      <c r="C109" s="78" t="str">
        <f>LIST_OF_EQUIPMENT!B12</f>
        <v>MED - E8</v>
      </c>
      <c r="D109" s="78" t="s">
        <v>1248</v>
      </c>
      <c r="E109" s="78" t="s">
        <v>1218</v>
      </c>
      <c r="F109" s="78" t="s">
        <v>1100</v>
      </c>
      <c r="G109" s="78" t="s">
        <v>1106</v>
      </c>
      <c r="H109" s="78" t="s">
        <v>1102</v>
      </c>
      <c r="I109" s="78" t="s">
        <v>481</v>
      </c>
      <c r="J109" s="78"/>
      <c r="K109" s="78">
        <f t="shared" si="4"/>
        <v>0.1017</v>
      </c>
      <c r="L109" s="78"/>
      <c r="M109" s="78"/>
      <c r="N109" s="78">
        <f t="shared" si="5"/>
        <v>46.72</v>
      </c>
      <c r="O109" s="78"/>
      <c r="P109" s="78"/>
      <c r="Q109" s="78" t="str">
        <f t="shared" si="6"/>
        <v/>
      </c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</row>
    <row r="110" spans="1:32" ht="24.95" customHeight="1" x14ac:dyDescent="0.25">
      <c r="A110" s="77">
        <f t="shared" si="7"/>
        <v>107</v>
      </c>
      <c r="B110" s="101" t="s">
        <v>716</v>
      </c>
      <c r="C110" s="79" t="str">
        <f>'LIST OF LINES'!B53</f>
        <v>250-40-SS-DW-08</v>
      </c>
      <c r="D110" s="78" t="s">
        <v>1249</v>
      </c>
      <c r="E110" s="79" t="s">
        <v>1250</v>
      </c>
      <c r="F110" s="78" t="s">
        <v>1100</v>
      </c>
      <c r="G110" s="78" t="s">
        <v>1106</v>
      </c>
      <c r="H110" s="78" t="s">
        <v>1102</v>
      </c>
      <c r="I110" s="78" t="s">
        <v>481</v>
      </c>
      <c r="J110" s="78"/>
      <c r="K110" s="78">
        <f t="shared" si="4"/>
        <v>0</v>
      </c>
      <c r="L110" s="78"/>
      <c r="M110" s="78"/>
      <c r="N110" s="78">
        <f t="shared" si="5"/>
        <v>45.97</v>
      </c>
      <c r="O110" s="78"/>
      <c r="P110" s="78"/>
      <c r="Q110" s="78">
        <f t="shared" si="6"/>
        <v>36.931646912716879</v>
      </c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</row>
    <row r="111" spans="1:32" ht="24.95" customHeight="1" x14ac:dyDescent="0.25">
      <c r="A111" s="77">
        <f t="shared" si="7"/>
        <v>108</v>
      </c>
      <c r="B111" s="101" t="s">
        <v>716</v>
      </c>
      <c r="C111" s="78" t="str">
        <f>LIST_OF_EQUIPMENT!B13</f>
        <v>MED - E9</v>
      </c>
      <c r="D111" s="78" t="s">
        <v>1251</v>
      </c>
      <c r="E111" s="78" t="s">
        <v>1218</v>
      </c>
      <c r="F111" s="78" t="s">
        <v>1100</v>
      </c>
      <c r="G111" s="78" t="s">
        <v>1106</v>
      </c>
      <c r="H111" s="78" t="s">
        <v>1102</v>
      </c>
      <c r="I111" s="78" t="s">
        <v>481</v>
      </c>
      <c r="J111" s="78"/>
      <c r="K111" s="78">
        <f t="shared" si="4"/>
        <v>8.4599999999999995E-2</v>
      </c>
      <c r="L111" s="78"/>
      <c r="M111" s="78"/>
      <c r="N111" s="78">
        <f t="shared" si="5"/>
        <v>43.14</v>
      </c>
      <c r="O111" s="78"/>
      <c r="P111" s="78"/>
      <c r="Q111" s="78" t="str">
        <f t="shared" si="6"/>
        <v/>
      </c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</row>
    <row r="112" spans="1:32" ht="24.95" customHeight="1" x14ac:dyDescent="0.25">
      <c r="A112" s="77">
        <f t="shared" si="7"/>
        <v>109</v>
      </c>
      <c r="B112" s="101" t="s">
        <v>716</v>
      </c>
      <c r="C112" s="79" t="str">
        <f>'LIST OF LINES'!B54</f>
        <v>450-40-SS-DW-09</v>
      </c>
      <c r="D112" s="78" t="s">
        <v>1252</v>
      </c>
      <c r="E112" s="79" t="s">
        <v>1253</v>
      </c>
      <c r="F112" s="78" t="s">
        <v>1100</v>
      </c>
      <c r="G112" s="78" t="s">
        <v>1106</v>
      </c>
      <c r="H112" s="78" t="s">
        <v>1102</v>
      </c>
      <c r="I112" s="78" t="s">
        <v>481</v>
      </c>
      <c r="J112" s="78"/>
      <c r="K112" s="78">
        <f t="shared" si="4"/>
        <v>0</v>
      </c>
      <c r="L112" s="78"/>
      <c r="M112" s="78"/>
      <c r="N112" s="78">
        <f t="shared" si="5"/>
        <v>42.404474022589056</v>
      </c>
      <c r="O112" s="78"/>
      <c r="P112" s="78"/>
      <c r="Q112" s="78">
        <f t="shared" si="6"/>
        <v>41.601616033429082</v>
      </c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</row>
    <row r="113" spans="1:32" ht="24.95" customHeight="1" x14ac:dyDescent="0.25">
      <c r="A113" s="77">
        <f t="shared" si="7"/>
        <v>110</v>
      </c>
      <c r="B113" s="101" t="s">
        <v>681</v>
      </c>
      <c r="C113" s="78" t="str">
        <f>LIST_OF_EQUIPMENT!$B$18</f>
        <v>DT</v>
      </c>
      <c r="D113" s="78" t="s">
        <v>1254</v>
      </c>
      <c r="E113" s="78" t="s">
        <v>1255</v>
      </c>
      <c r="F113" s="78" t="s">
        <v>1100</v>
      </c>
      <c r="G113" s="78" t="s">
        <v>1106</v>
      </c>
      <c r="H113" s="78" t="s">
        <v>1102</v>
      </c>
      <c r="I113" s="78" t="s">
        <v>481</v>
      </c>
      <c r="J113" s="78"/>
      <c r="K113" s="78">
        <f t="shared" si="4"/>
        <v>8.4599999999999995E-2</v>
      </c>
      <c r="L113" s="78"/>
      <c r="M113" s="78"/>
      <c r="N113" s="78">
        <f t="shared" si="5"/>
        <v>42.404474022589056</v>
      </c>
      <c r="O113" s="78"/>
      <c r="P113" s="78"/>
      <c r="Q113" s="78" t="str">
        <f t="shared" si="6"/>
        <v/>
      </c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</row>
    <row r="114" spans="1:32" ht="24.95" customHeight="1" x14ac:dyDescent="0.25">
      <c r="A114" s="77">
        <f t="shared" si="7"/>
        <v>111</v>
      </c>
      <c r="B114" s="101" t="s">
        <v>681</v>
      </c>
      <c r="C114" s="78" t="str">
        <f>LIST_OF_EQUIPMENT!$B$18</f>
        <v>DT</v>
      </c>
      <c r="D114" s="78" t="s">
        <v>1256</v>
      </c>
      <c r="E114" s="78" t="s">
        <v>1257</v>
      </c>
      <c r="F114" s="78" t="s">
        <v>1100</v>
      </c>
      <c r="G114" s="78" t="s">
        <v>1101</v>
      </c>
      <c r="H114" s="78" t="s">
        <v>1102</v>
      </c>
      <c r="I114" s="78" t="s">
        <v>481</v>
      </c>
      <c r="J114" s="78"/>
      <c r="K114" s="78">
        <f t="shared" si="4"/>
        <v>8.4599999999999995E-2</v>
      </c>
      <c r="L114" s="78"/>
      <c r="M114" s="78"/>
      <c r="N114" s="78">
        <f t="shared" si="5"/>
        <v>42.404474022589056</v>
      </c>
      <c r="O114" s="78"/>
      <c r="P114" s="78"/>
      <c r="Q114" s="78" t="str">
        <f t="shared" si="6"/>
        <v/>
      </c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</row>
    <row r="115" spans="1:32" ht="24.95" customHeight="1" x14ac:dyDescent="0.25">
      <c r="A115" s="77">
        <f t="shared" si="7"/>
        <v>112</v>
      </c>
      <c r="B115" s="101" t="s">
        <v>681</v>
      </c>
      <c r="C115" s="78" t="str">
        <f>LIST_OF_EQUIPMENT!$B$18</f>
        <v>DT</v>
      </c>
      <c r="D115" s="78" t="s">
        <v>1258</v>
      </c>
      <c r="E115" s="78" t="s">
        <v>1259</v>
      </c>
      <c r="F115" s="78" t="s">
        <v>1100</v>
      </c>
      <c r="G115" s="78" t="s">
        <v>1106</v>
      </c>
      <c r="H115" s="78" t="s">
        <v>1142</v>
      </c>
      <c r="I115" s="78" t="s">
        <v>481</v>
      </c>
      <c r="J115" s="78"/>
      <c r="K115" s="78">
        <f t="shared" si="4"/>
        <v>8.4599999999999995E-2</v>
      </c>
      <c r="L115" s="78"/>
      <c r="M115" s="78"/>
      <c r="N115" s="78">
        <f t="shared" si="5"/>
        <v>42.404474022589056</v>
      </c>
      <c r="O115" s="78"/>
      <c r="P115" s="78"/>
      <c r="Q115" s="78" t="str">
        <f t="shared" si="6"/>
        <v/>
      </c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</row>
    <row r="116" spans="1:32" ht="24.95" customHeight="1" x14ac:dyDescent="0.25">
      <c r="A116" s="77">
        <f t="shared" si="7"/>
        <v>113</v>
      </c>
      <c r="B116" s="101" t="s">
        <v>681</v>
      </c>
      <c r="C116" s="78" t="str">
        <f>LIST_OF_EQUIPMENT!$B$18</f>
        <v>DT</v>
      </c>
      <c r="D116" s="78" t="s">
        <v>1260</v>
      </c>
      <c r="E116" s="78" t="s">
        <v>1259</v>
      </c>
      <c r="F116" s="78" t="s">
        <v>1100</v>
      </c>
      <c r="G116" s="78" t="s">
        <v>1106</v>
      </c>
      <c r="H116" s="78" t="s">
        <v>1142</v>
      </c>
      <c r="I116" s="78" t="s">
        <v>481</v>
      </c>
      <c r="J116" s="78"/>
      <c r="K116" s="78">
        <f t="shared" si="4"/>
        <v>8.4599999999999995E-2</v>
      </c>
      <c r="L116" s="78"/>
      <c r="M116" s="78"/>
      <c r="N116" s="78">
        <f t="shared" si="5"/>
        <v>42.404474022589056</v>
      </c>
      <c r="O116" s="78"/>
      <c r="P116" s="78"/>
      <c r="Q116" s="78" t="str">
        <f t="shared" si="6"/>
        <v/>
      </c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</row>
    <row r="117" spans="1:32" ht="24.95" customHeight="1" x14ac:dyDescent="0.25">
      <c r="A117" s="77">
        <f t="shared" si="7"/>
        <v>114</v>
      </c>
      <c r="B117" s="101" t="s">
        <v>681</v>
      </c>
      <c r="C117" s="78" t="str">
        <f>'LIST OF LINES'!$B$55</f>
        <v>450-40-SS-DW-10</v>
      </c>
      <c r="D117" s="78" t="s">
        <v>1261</v>
      </c>
      <c r="E117" s="78" t="s">
        <v>1170</v>
      </c>
      <c r="F117" s="78" t="s">
        <v>1171</v>
      </c>
      <c r="G117" s="78" t="s">
        <v>1106</v>
      </c>
      <c r="H117" s="78" t="s">
        <v>1172</v>
      </c>
      <c r="I117" s="78" t="s">
        <v>481</v>
      </c>
      <c r="J117" s="78"/>
      <c r="K117" s="78">
        <f t="shared" si="4"/>
        <v>1.5</v>
      </c>
      <c r="L117" s="78"/>
      <c r="M117" s="78"/>
      <c r="N117" s="78">
        <f t="shared" si="5"/>
        <v>42.493588034626043</v>
      </c>
      <c r="O117" s="78"/>
      <c r="P117" s="78"/>
      <c r="Q117" s="78">
        <f t="shared" si="6"/>
        <v>42.052427094261084</v>
      </c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</row>
    <row r="118" spans="1:32" ht="24.95" customHeight="1" x14ac:dyDescent="0.25">
      <c r="A118" s="77">
        <f t="shared" si="7"/>
        <v>115</v>
      </c>
      <c r="B118" s="101" t="s">
        <v>681</v>
      </c>
      <c r="C118" s="78" t="str">
        <f>'LIST OF LINES'!$B$55</f>
        <v>450-40-SS-DW-10</v>
      </c>
      <c r="D118" s="78" t="s">
        <v>1262</v>
      </c>
      <c r="E118" s="78" t="s">
        <v>1170</v>
      </c>
      <c r="F118" s="78" t="s">
        <v>1171</v>
      </c>
      <c r="G118" s="78" t="s">
        <v>1106</v>
      </c>
      <c r="H118" s="78" t="s">
        <v>1172</v>
      </c>
      <c r="I118" s="78" t="s">
        <v>481</v>
      </c>
      <c r="J118" s="78"/>
      <c r="K118" s="78">
        <f t="shared" si="4"/>
        <v>1.5</v>
      </c>
      <c r="L118" s="78"/>
      <c r="M118" s="78"/>
      <c r="N118" s="78">
        <f t="shared" si="5"/>
        <v>42.493588034626043</v>
      </c>
      <c r="O118" s="78"/>
      <c r="P118" s="78"/>
      <c r="Q118" s="78">
        <f t="shared" si="6"/>
        <v>42.052427094261084</v>
      </c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</row>
    <row r="119" spans="1:32" ht="24.95" customHeight="1" x14ac:dyDescent="0.25">
      <c r="A119" s="77">
        <f t="shared" si="7"/>
        <v>116</v>
      </c>
      <c r="B119" s="101" t="s">
        <v>681</v>
      </c>
      <c r="C119" s="78" t="str">
        <f>'LIST OF LINES'!$B$55</f>
        <v>450-40-SS-DW-10</v>
      </c>
      <c r="D119" s="78" t="s">
        <v>1263</v>
      </c>
      <c r="E119" s="78" t="s">
        <v>1264</v>
      </c>
      <c r="F119" s="78" t="s">
        <v>1100</v>
      </c>
      <c r="G119" s="78" t="s">
        <v>1106</v>
      </c>
      <c r="H119" s="78" t="s">
        <v>1102</v>
      </c>
      <c r="I119" s="78" t="s">
        <v>481</v>
      </c>
      <c r="J119" s="78"/>
      <c r="K119" s="78">
        <f t="shared" si="4"/>
        <v>1.5</v>
      </c>
      <c r="L119" s="78"/>
      <c r="M119" s="78"/>
      <c r="N119" s="78">
        <f t="shared" si="5"/>
        <v>42.493588034626043</v>
      </c>
      <c r="O119" s="78"/>
      <c r="P119" s="78"/>
      <c r="Q119" s="78">
        <f t="shared" si="6"/>
        <v>42.052427094261084</v>
      </c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</row>
    <row r="120" spans="1:32" ht="24.95" customHeight="1" x14ac:dyDescent="0.25">
      <c r="A120" s="77">
        <f t="shared" si="7"/>
        <v>117</v>
      </c>
      <c r="B120" s="101" t="s">
        <v>681</v>
      </c>
      <c r="C120" s="78" t="str">
        <f>'LIST OF LINES'!$B$55</f>
        <v>450-40-SS-DW-10</v>
      </c>
      <c r="D120" s="78" t="s">
        <v>1265</v>
      </c>
      <c r="E120" s="78" t="s">
        <v>1266</v>
      </c>
      <c r="F120" s="78" t="s">
        <v>1100</v>
      </c>
      <c r="G120" s="78" t="s">
        <v>1106</v>
      </c>
      <c r="H120" s="78" t="s">
        <v>1178</v>
      </c>
      <c r="I120" s="78" t="s">
        <v>481</v>
      </c>
      <c r="J120" s="78"/>
      <c r="K120" s="78">
        <f t="shared" si="4"/>
        <v>1.5</v>
      </c>
      <c r="L120" s="78"/>
      <c r="M120" s="78"/>
      <c r="N120" s="78">
        <f t="shared" si="5"/>
        <v>42.493588034626043</v>
      </c>
      <c r="O120" s="78"/>
      <c r="P120" s="78"/>
      <c r="Q120" s="78">
        <f t="shared" si="6"/>
        <v>42.052427094261084</v>
      </c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</row>
    <row r="121" spans="1:32" ht="24.95" customHeight="1" x14ac:dyDescent="0.25">
      <c r="A121" s="77">
        <f t="shared" si="7"/>
        <v>118</v>
      </c>
      <c r="B121" s="101" t="s">
        <v>681</v>
      </c>
      <c r="C121" s="78" t="str">
        <f>'LIST OF LINES'!$B$56</f>
        <v>100-40-SS-DW-11</v>
      </c>
      <c r="D121" s="78" t="s">
        <v>879</v>
      </c>
      <c r="E121" s="78" t="s">
        <v>1267</v>
      </c>
      <c r="F121" s="78" t="s">
        <v>1100</v>
      </c>
      <c r="G121" s="78" t="s">
        <v>1101</v>
      </c>
      <c r="H121" s="78" t="s">
        <v>1178</v>
      </c>
      <c r="I121" s="78" t="s">
        <v>481</v>
      </c>
      <c r="J121" s="78"/>
      <c r="K121" s="78">
        <f t="shared" si="4"/>
        <v>0</v>
      </c>
      <c r="L121" s="78"/>
      <c r="M121" s="78"/>
      <c r="N121" s="78">
        <f t="shared" si="5"/>
        <v>42.493588034626043</v>
      </c>
      <c r="O121" s="78"/>
      <c r="P121" s="78"/>
      <c r="Q121" s="78">
        <f t="shared" si="6"/>
        <v>42.052427094261084</v>
      </c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</row>
    <row r="122" spans="1:32" ht="24.95" customHeight="1" x14ac:dyDescent="0.25">
      <c r="A122" s="77">
        <f t="shared" si="7"/>
        <v>119</v>
      </c>
      <c r="B122" s="101" t="s">
        <v>681</v>
      </c>
      <c r="C122" s="78" t="str">
        <f>'LIST OF LINES'!$B$56</f>
        <v>100-40-SS-DW-11</v>
      </c>
      <c r="D122" s="78" t="s">
        <v>882</v>
      </c>
      <c r="E122" s="78" t="s">
        <v>1268</v>
      </c>
      <c r="F122" s="78" t="s">
        <v>1100</v>
      </c>
      <c r="G122" s="78" t="s">
        <v>1101</v>
      </c>
      <c r="H122" s="78" t="s">
        <v>1178</v>
      </c>
      <c r="I122" s="78" t="s">
        <v>481</v>
      </c>
      <c r="J122" s="78"/>
      <c r="K122" s="78">
        <f t="shared" si="4"/>
        <v>0</v>
      </c>
      <c r="L122" s="78"/>
      <c r="M122" s="78"/>
      <c r="N122" s="78">
        <f t="shared" si="5"/>
        <v>42.493588034626043</v>
      </c>
      <c r="O122" s="78"/>
      <c r="P122" s="78"/>
      <c r="Q122" s="78">
        <f t="shared" si="6"/>
        <v>42.052427094261084</v>
      </c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</row>
    <row r="123" spans="1:32" ht="24.95" customHeight="1" x14ac:dyDescent="0.25">
      <c r="A123" s="77">
        <f t="shared" si="7"/>
        <v>120</v>
      </c>
      <c r="B123" s="101" t="s">
        <v>681</v>
      </c>
      <c r="C123" s="78" t="str">
        <f>'LIST OF LINES'!$B$56</f>
        <v>100-40-SS-DW-11</v>
      </c>
      <c r="D123" s="78" t="s">
        <v>1269</v>
      </c>
      <c r="E123" s="78" t="s">
        <v>1270</v>
      </c>
      <c r="F123" s="78" t="s">
        <v>1116</v>
      </c>
      <c r="G123" s="78" t="s">
        <v>1106</v>
      </c>
      <c r="H123" s="78" t="s">
        <v>1271</v>
      </c>
      <c r="I123" s="78" t="s">
        <v>481</v>
      </c>
      <c r="J123" s="78"/>
      <c r="K123" s="78">
        <f t="shared" si="4"/>
        <v>0</v>
      </c>
      <c r="L123" s="78"/>
      <c r="M123" s="78"/>
      <c r="N123" s="78">
        <f t="shared" si="5"/>
        <v>42.493588034626043</v>
      </c>
      <c r="O123" s="78"/>
      <c r="P123" s="78"/>
      <c r="Q123" s="78">
        <f t="shared" si="6"/>
        <v>42.052427094261084</v>
      </c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</row>
    <row r="124" spans="1:32" ht="24.95" customHeight="1" x14ac:dyDescent="0.25">
      <c r="A124" s="77">
        <f t="shared" si="7"/>
        <v>121</v>
      </c>
      <c r="B124" s="101" t="s">
        <v>681</v>
      </c>
      <c r="C124" s="78" t="str">
        <f>'LIST OF LINES'!$B$56</f>
        <v>100-40-SS-DW-11</v>
      </c>
      <c r="D124" s="78" t="s">
        <v>1272</v>
      </c>
      <c r="E124" s="78" t="s">
        <v>1270</v>
      </c>
      <c r="F124" s="78" t="s">
        <v>1116</v>
      </c>
      <c r="G124" s="78" t="s">
        <v>1106</v>
      </c>
      <c r="H124" s="78" t="s">
        <v>1271</v>
      </c>
      <c r="I124" s="78" t="s">
        <v>481</v>
      </c>
      <c r="J124" s="78"/>
      <c r="K124" s="78">
        <f t="shared" si="4"/>
        <v>0</v>
      </c>
      <c r="L124" s="78"/>
      <c r="M124" s="78"/>
      <c r="N124" s="78">
        <f t="shared" si="5"/>
        <v>42.493588034626043</v>
      </c>
      <c r="O124" s="78"/>
      <c r="P124" s="78"/>
      <c r="Q124" s="78">
        <f t="shared" si="6"/>
        <v>42.052427094261084</v>
      </c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</row>
    <row r="125" spans="1:32" ht="24.95" customHeight="1" x14ac:dyDescent="0.25">
      <c r="A125" s="77">
        <f t="shared" si="7"/>
        <v>122</v>
      </c>
      <c r="B125" s="101" t="s">
        <v>681</v>
      </c>
      <c r="C125" s="78" t="str">
        <f>'LIST OF LINES'!$B$56</f>
        <v>100-40-SS-DW-11</v>
      </c>
      <c r="D125" s="78" t="s">
        <v>1273</v>
      </c>
      <c r="E125" s="78" t="s">
        <v>1270</v>
      </c>
      <c r="F125" s="78" t="s">
        <v>1100</v>
      </c>
      <c r="G125" s="78" t="s">
        <v>1106</v>
      </c>
      <c r="H125" s="78" t="s">
        <v>1271</v>
      </c>
      <c r="I125" s="78" t="s">
        <v>481</v>
      </c>
      <c r="J125" s="78"/>
      <c r="K125" s="78">
        <f t="shared" si="4"/>
        <v>0</v>
      </c>
      <c r="L125" s="78"/>
      <c r="M125" s="78"/>
      <c r="N125" s="78">
        <f t="shared" si="5"/>
        <v>42.493588034626043</v>
      </c>
      <c r="O125" s="78"/>
      <c r="P125" s="78"/>
      <c r="Q125" s="78">
        <f t="shared" si="6"/>
        <v>42.052427094261084</v>
      </c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</row>
    <row r="126" spans="1:32" ht="24.95" customHeight="1" x14ac:dyDescent="0.25">
      <c r="A126" s="77">
        <f t="shared" si="7"/>
        <v>123</v>
      </c>
      <c r="B126" s="101" t="s">
        <v>681</v>
      </c>
      <c r="C126" s="78" t="str">
        <f>'LIST OF LINES'!$B$56</f>
        <v>100-40-SS-DW-11</v>
      </c>
      <c r="D126" s="78" t="s">
        <v>1274</v>
      </c>
      <c r="E126" s="78" t="s">
        <v>1270</v>
      </c>
      <c r="F126" s="78" t="s">
        <v>1100</v>
      </c>
      <c r="G126" s="78" t="s">
        <v>1106</v>
      </c>
      <c r="H126" s="78" t="s">
        <v>1271</v>
      </c>
      <c r="I126" s="78" t="s">
        <v>481</v>
      </c>
      <c r="J126" s="78"/>
      <c r="K126" s="78">
        <f t="shared" si="4"/>
        <v>0</v>
      </c>
      <c r="L126" s="78"/>
      <c r="M126" s="78"/>
      <c r="N126" s="78">
        <f t="shared" si="5"/>
        <v>42.493588034626043</v>
      </c>
      <c r="O126" s="78"/>
      <c r="P126" s="78"/>
      <c r="Q126" s="78">
        <f t="shared" si="6"/>
        <v>42.052427094261084</v>
      </c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</row>
    <row r="127" spans="1:32" ht="24.95" customHeight="1" x14ac:dyDescent="0.25">
      <c r="A127" s="77">
        <f t="shared" si="7"/>
        <v>124</v>
      </c>
      <c r="B127" s="101" t="s">
        <v>681</v>
      </c>
      <c r="C127" s="78" t="str">
        <f>'LIST OF LINES'!$B$56</f>
        <v>100-40-SS-DW-11</v>
      </c>
      <c r="D127" s="78" t="s">
        <v>884</v>
      </c>
      <c r="E127" s="78" t="s">
        <v>883</v>
      </c>
      <c r="F127" s="78" t="s">
        <v>1100</v>
      </c>
      <c r="G127" s="78" t="s">
        <v>1101</v>
      </c>
      <c r="H127" s="78" t="s">
        <v>1102</v>
      </c>
      <c r="I127" s="78" t="s">
        <v>481</v>
      </c>
      <c r="J127" s="78"/>
      <c r="K127" s="78">
        <f t="shared" si="4"/>
        <v>0</v>
      </c>
      <c r="L127" s="78"/>
      <c r="M127" s="78"/>
      <c r="N127" s="78">
        <f t="shared" si="5"/>
        <v>42.493588034626043</v>
      </c>
      <c r="O127" s="78"/>
      <c r="P127" s="78"/>
      <c r="Q127" s="78">
        <f t="shared" si="6"/>
        <v>42.052427094261084</v>
      </c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</row>
    <row r="128" spans="1:32" ht="24.95" customHeight="1" x14ac:dyDescent="0.25">
      <c r="A128" s="77">
        <f t="shared" si="7"/>
        <v>125</v>
      </c>
      <c r="B128" s="101" t="s">
        <v>681</v>
      </c>
      <c r="C128" s="78" t="str">
        <f>'LIST OF LINES'!$B$56</f>
        <v>100-40-SS-DW-11</v>
      </c>
      <c r="D128" s="78" t="s">
        <v>886</v>
      </c>
      <c r="E128" s="78" t="s">
        <v>885</v>
      </c>
      <c r="F128" s="78" t="s">
        <v>1100</v>
      </c>
      <c r="G128" s="78" t="s">
        <v>1101</v>
      </c>
      <c r="H128" s="78" t="s">
        <v>1102</v>
      </c>
      <c r="I128" s="78" t="s">
        <v>481</v>
      </c>
      <c r="J128" s="78"/>
      <c r="K128" s="78">
        <f t="shared" si="4"/>
        <v>0</v>
      </c>
      <c r="L128" s="78"/>
      <c r="M128" s="78"/>
      <c r="N128" s="78">
        <f t="shared" si="5"/>
        <v>42.493588034626043</v>
      </c>
      <c r="O128" s="78"/>
      <c r="P128" s="78"/>
      <c r="Q128" s="78">
        <f t="shared" si="6"/>
        <v>42.052427094261084</v>
      </c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</row>
    <row r="129" spans="1:32" ht="24.95" customHeight="1" x14ac:dyDescent="0.25">
      <c r="A129" s="77">
        <f t="shared" si="7"/>
        <v>126</v>
      </c>
      <c r="B129" s="101" t="s">
        <v>681</v>
      </c>
      <c r="C129" s="78" t="str">
        <f>'LIST OF LINES'!B57</f>
        <v>100-40-SS-DW-12</v>
      </c>
      <c r="D129" s="78" t="s">
        <v>893</v>
      </c>
      <c r="E129" s="78" t="s">
        <v>892</v>
      </c>
      <c r="F129" s="78" t="s">
        <v>1100</v>
      </c>
      <c r="G129" s="78" t="s">
        <v>1101</v>
      </c>
      <c r="H129" s="78" t="s">
        <v>1102</v>
      </c>
      <c r="I129" s="78" t="s">
        <v>481</v>
      </c>
      <c r="J129" s="78"/>
      <c r="K129" s="78">
        <f t="shared" si="4"/>
        <v>0</v>
      </c>
      <c r="L129" s="78"/>
      <c r="M129" s="78"/>
      <c r="N129" s="78">
        <f t="shared" si="5"/>
        <v>0</v>
      </c>
      <c r="O129" s="78"/>
      <c r="P129" s="78"/>
      <c r="Q129" s="78">
        <f t="shared" si="6"/>
        <v>42.052427094261084</v>
      </c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</row>
    <row r="130" spans="1:32" ht="24.95" customHeight="1" x14ac:dyDescent="0.25">
      <c r="A130" s="77">
        <f t="shared" si="7"/>
        <v>127</v>
      </c>
      <c r="B130" s="101" t="s">
        <v>681</v>
      </c>
      <c r="C130" s="78" t="str">
        <f>'LIST OF LINES'!B57</f>
        <v>100-40-SS-DW-12</v>
      </c>
      <c r="D130" s="78" t="s">
        <v>1275</v>
      </c>
      <c r="E130" s="78"/>
      <c r="F130" s="78" t="s">
        <v>1123</v>
      </c>
      <c r="G130" s="78" t="s">
        <v>1106</v>
      </c>
      <c r="H130" s="78" t="s">
        <v>1271</v>
      </c>
      <c r="I130" s="78" t="s">
        <v>481</v>
      </c>
      <c r="J130" s="78"/>
      <c r="K130" s="78">
        <f t="shared" si="4"/>
        <v>0</v>
      </c>
      <c r="L130" s="78"/>
      <c r="M130" s="78"/>
      <c r="N130" s="78">
        <f t="shared" si="5"/>
        <v>0</v>
      </c>
      <c r="O130" s="78"/>
      <c r="P130" s="78"/>
      <c r="Q130" s="78">
        <f t="shared" si="6"/>
        <v>42.052427094261084</v>
      </c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</row>
    <row r="131" spans="1:32" ht="24.95" customHeight="1" x14ac:dyDescent="0.25">
      <c r="A131" s="77">
        <f t="shared" si="7"/>
        <v>128</v>
      </c>
      <c r="B131" s="101" t="s">
        <v>681</v>
      </c>
      <c r="C131" s="78" t="str">
        <f>'LIST OF LINES'!B59</f>
        <v xml:space="preserve">100-40-SS-DW-14 </v>
      </c>
      <c r="D131" s="78" t="s">
        <v>1276</v>
      </c>
      <c r="E131" s="78"/>
      <c r="F131" s="78" t="s">
        <v>1116</v>
      </c>
      <c r="G131" s="78" t="s">
        <v>1106</v>
      </c>
      <c r="H131" s="78" t="s">
        <v>1271</v>
      </c>
      <c r="I131" s="78" t="s">
        <v>481</v>
      </c>
      <c r="J131" s="78"/>
      <c r="K131" s="78">
        <f t="shared" si="4"/>
        <v>0</v>
      </c>
      <c r="L131" s="78"/>
      <c r="M131" s="78"/>
      <c r="N131" s="78">
        <f t="shared" si="5"/>
        <v>0</v>
      </c>
      <c r="O131" s="78"/>
      <c r="P131" s="78"/>
      <c r="Q131" s="78">
        <f t="shared" si="6"/>
        <v>42.052427094261084</v>
      </c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</row>
    <row r="132" spans="1:32" ht="24.95" customHeight="1" x14ac:dyDescent="0.25">
      <c r="A132" s="77">
        <f t="shared" si="7"/>
        <v>129</v>
      </c>
      <c r="B132" s="78" t="s">
        <v>895</v>
      </c>
      <c r="C132" s="78" t="str">
        <f>LIST_OF_EQUIPMENT!$B$28</f>
        <v>DST</v>
      </c>
      <c r="D132" s="78" t="s">
        <v>1277</v>
      </c>
      <c r="E132" s="78" t="s">
        <v>1220</v>
      </c>
      <c r="F132" s="78" t="s">
        <v>1100</v>
      </c>
      <c r="G132" s="78" t="s">
        <v>1106</v>
      </c>
      <c r="H132" s="78" t="s">
        <v>1142</v>
      </c>
      <c r="I132" s="78" t="s">
        <v>481</v>
      </c>
      <c r="J132" s="78"/>
      <c r="K132" s="78">
        <f t="shared" ref="K132:K195" si="8">IFERROR(INDEX(Pressures_bar,MATCH(INDEX(LOL_LineTags,MATCH(C132,LOL_LineNumbers,0)),LineTags,0)),IFERROR(INDEX(LOE_Pressures,MATCH(C132,LOE_EquipNames,0))/1000,INDEX(LOE_Pressures,MATCH(C132,LOE_EquipTags,0))/1000))</f>
        <v>0</v>
      </c>
      <c r="L132" s="78"/>
      <c r="M132" s="78"/>
      <c r="N132" s="78">
        <f t="shared" ref="N132:N195" si="9">IFERROR(INDEX(Temperatures,MATCH(INDEX(LOL_LineTags,MATCH(C132,LOL_LineNumbers,0)),LineTags,0)),IFERROR(INDEX(LOE_Temperatures,MATCH(C132,LOE_EquipNames,0)),INDEX(LOE_Temperatures,MATCH(C132,LOE_EquipTags,0))))</f>
        <v>0</v>
      </c>
      <c r="O132" s="78"/>
      <c r="P132" s="78"/>
      <c r="Q132" s="78" t="str">
        <f t="shared" ref="Q132:Q195" si="10">IFERROR(INDEX(FlowRates_kghr,MATCH(INDEX(LOL_LineTags,MATCH(C132,LOL_LineNumbers,0)),LineTags,0))/INDEX(Densities,MATCH(INDEX(LOL_LineTags,MATCH(C132,LOL_LineNumbers,0)),LineTags,0)),"")</f>
        <v/>
      </c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</row>
    <row r="133" spans="1:32" ht="24.95" customHeight="1" x14ac:dyDescent="0.25">
      <c r="A133" s="77">
        <f t="shared" ref="A133:A196" si="11">A132+1</f>
        <v>130</v>
      </c>
      <c r="B133" s="78" t="s">
        <v>895</v>
      </c>
      <c r="C133" s="78" t="str">
        <f>LIST_OF_EQUIPMENT!$B$28</f>
        <v>DST</v>
      </c>
      <c r="D133" s="78" t="s">
        <v>1278</v>
      </c>
      <c r="E133" s="78" t="s">
        <v>1220</v>
      </c>
      <c r="F133" s="78" t="s">
        <v>1100</v>
      </c>
      <c r="G133" s="78" t="s">
        <v>1106</v>
      </c>
      <c r="H133" s="78" t="s">
        <v>1142</v>
      </c>
      <c r="I133" s="78" t="s">
        <v>481</v>
      </c>
      <c r="J133" s="78"/>
      <c r="K133" s="78">
        <f t="shared" si="8"/>
        <v>0</v>
      </c>
      <c r="L133" s="78"/>
      <c r="M133" s="78"/>
      <c r="N133" s="78">
        <f t="shared" si="9"/>
        <v>0</v>
      </c>
      <c r="O133" s="78"/>
      <c r="P133" s="78"/>
      <c r="Q133" s="78" t="str">
        <f t="shared" si="10"/>
        <v/>
      </c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</row>
    <row r="134" spans="1:32" ht="24.95" customHeight="1" x14ac:dyDescent="0.25">
      <c r="A134" s="77">
        <f t="shared" si="11"/>
        <v>131</v>
      </c>
      <c r="B134" s="78" t="s">
        <v>895</v>
      </c>
      <c r="C134" s="78" t="str">
        <f>LIST_OF_EQUIPMENT!$B$28</f>
        <v>DST</v>
      </c>
      <c r="D134" s="78" t="s">
        <v>1279</v>
      </c>
      <c r="E134" s="78" t="s">
        <v>1223</v>
      </c>
      <c r="F134" s="78" t="s">
        <v>1100</v>
      </c>
      <c r="G134" s="78" t="s">
        <v>1101</v>
      </c>
      <c r="H134" s="78" t="s">
        <v>1102</v>
      </c>
      <c r="I134" s="78" t="s">
        <v>481</v>
      </c>
      <c r="J134" s="78"/>
      <c r="K134" s="78">
        <f t="shared" si="8"/>
        <v>0</v>
      </c>
      <c r="L134" s="78"/>
      <c r="M134" s="78"/>
      <c r="N134" s="78">
        <f t="shared" si="9"/>
        <v>0</v>
      </c>
      <c r="O134" s="78"/>
      <c r="P134" s="78"/>
      <c r="Q134" s="78" t="str">
        <f t="shared" si="10"/>
        <v/>
      </c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</row>
    <row r="135" spans="1:32" ht="24.95" customHeight="1" x14ac:dyDescent="0.25">
      <c r="A135" s="77">
        <f t="shared" si="11"/>
        <v>132</v>
      </c>
      <c r="B135" s="78" t="s">
        <v>895</v>
      </c>
      <c r="C135" s="78" t="str">
        <f>LIST_OF_EQUIPMENT!$B$28</f>
        <v>DST</v>
      </c>
      <c r="D135" s="78" t="s">
        <v>1280</v>
      </c>
      <c r="E135" s="78" t="s">
        <v>1225</v>
      </c>
      <c r="F135" s="78" t="s">
        <v>1100</v>
      </c>
      <c r="G135" s="78" t="s">
        <v>1101</v>
      </c>
      <c r="H135" s="78" t="s">
        <v>1102</v>
      </c>
      <c r="I135" s="78" t="s">
        <v>481</v>
      </c>
      <c r="J135" s="78"/>
      <c r="K135" s="78">
        <f t="shared" si="8"/>
        <v>0</v>
      </c>
      <c r="L135" s="78"/>
      <c r="M135" s="78"/>
      <c r="N135" s="78">
        <f t="shared" si="9"/>
        <v>0</v>
      </c>
      <c r="O135" s="78"/>
      <c r="P135" s="78"/>
      <c r="Q135" s="78" t="str">
        <f t="shared" si="10"/>
        <v/>
      </c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</row>
    <row r="136" spans="1:32" ht="24.95" customHeight="1" x14ac:dyDescent="0.25">
      <c r="A136" s="77">
        <f t="shared" si="11"/>
        <v>133</v>
      </c>
      <c r="B136" s="78" t="s">
        <v>895</v>
      </c>
      <c r="C136" s="78" t="str">
        <f>LIST_OF_EQUIPMENT!$B$28</f>
        <v>DST</v>
      </c>
      <c r="D136" s="78" t="s">
        <v>1281</v>
      </c>
      <c r="E136" s="78" t="s">
        <v>1255</v>
      </c>
      <c r="F136" s="78" t="s">
        <v>1100</v>
      </c>
      <c r="G136" s="78" t="s">
        <v>1106</v>
      </c>
      <c r="H136" s="78" t="s">
        <v>1102</v>
      </c>
      <c r="I136" s="78" t="s">
        <v>481</v>
      </c>
      <c r="J136" s="78"/>
      <c r="K136" s="78">
        <f t="shared" si="8"/>
        <v>0</v>
      </c>
      <c r="L136" s="78"/>
      <c r="M136" s="78"/>
      <c r="N136" s="78">
        <f t="shared" si="9"/>
        <v>0</v>
      </c>
      <c r="O136" s="78"/>
      <c r="P136" s="78"/>
      <c r="Q136" s="78" t="str">
        <f t="shared" si="10"/>
        <v/>
      </c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</row>
    <row r="137" spans="1:32" ht="24.95" customHeight="1" x14ac:dyDescent="0.25">
      <c r="A137" s="77">
        <f t="shared" si="11"/>
        <v>134</v>
      </c>
      <c r="B137" s="78" t="s">
        <v>895</v>
      </c>
      <c r="C137" s="78" t="str">
        <f>'LIST OF LINES'!$B$60</f>
        <v>100-40-SS-DW-15</v>
      </c>
      <c r="D137" s="78" t="s">
        <v>1282</v>
      </c>
      <c r="E137" s="78" t="s">
        <v>1283</v>
      </c>
      <c r="F137" s="78" t="s">
        <v>1171</v>
      </c>
      <c r="G137" s="78" t="s">
        <v>1106</v>
      </c>
      <c r="H137" s="78" t="s">
        <v>1271</v>
      </c>
      <c r="I137" s="78" t="s">
        <v>481</v>
      </c>
      <c r="J137" s="78"/>
      <c r="K137" s="78">
        <f t="shared" si="8"/>
        <v>0</v>
      </c>
      <c r="L137" s="78"/>
      <c r="M137" s="78"/>
      <c r="N137" s="78">
        <f t="shared" si="9"/>
        <v>30</v>
      </c>
      <c r="O137" s="78"/>
      <c r="P137" s="78"/>
      <c r="Q137" s="78">
        <f t="shared" si="10"/>
        <v>2.208391606987417</v>
      </c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 spans="1:32" ht="24.95" customHeight="1" x14ac:dyDescent="0.25">
      <c r="A138" s="77">
        <f t="shared" si="11"/>
        <v>135</v>
      </c>
      <c r="B138" s="78" t="s">
        <v>895</v>
      </c>
      <c r="C138" s="78" t="str">
        <f>'LIST OF LINES'!$B$60</f>
        <v>100-40-SS-DW-15</v>
      </c>
      <c r="D138" s="78" t="s">
        <v>1284</v>
      </c>
      <c r="E138" s="78" t="s">
        <v>1285</v>
      </c>
      <c r="F138" s="78" t="s">
        <v>1100</v>
      </c>
      <c r="G138" s="78" t="s">
        <v>1106</v>
      </c>
      <c r="H138" s="78" t="s">
        <v>1102</v>
      </c>
      <c r="I138" s="78" t="s">
        <v>481</v>
      </c>
      <c r="J138" s="78"/>
      <c r="K138" s="78">
        <f t="shared" si="8"/>
        <v>0</v>
      </c>
      <c r="L138" s="78"/>
      <c r="M138" s="78"/>
      <c r="N138" s="78">
        <f t="shared" si="9"/>
        <v>30</v>
      </c>
      <c r="O138" s="78"/>
      <c r="P138" s="78"/>
      <c r="Q138" s="78">
        <f t="shared" si="10"/>
        <v>2.208391606987417</v>
      </c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</row>
    <row r="139" spans="1:32" ht="24.95" customHeight="1" x14ac:dyDescent="0.25">
      <c r="A139" s="77">
        <f t="shared" si="11"/>
        <v>136</v>
      </c>
      <c r="B139" s="78" t="s">
        <v>895</v>
      </c>
      <c r="C139" s="78" t="str">
        <f>'LIST OF LINES'!$B$60</f>
        <v>100-40-SS-DW-15</v>
      </c>
      <c r="D139" s="78" t="s">
        <v>903</v>
      </c>
      <c r="E139" s="78" t="s">
        <v>904</v>
      </c>
      <c r="F139" s="78" t="s">
        <v>1100</v>
      </c>
      <c r="G139" s="78" t="s">
        <v>1101</v>
      </c>
      <c r="H139" s="78" t="s">
        <v>1102</v>
      </c>
      <c r="I139" s="78" t="s">
        <v>481</v>
      </c>
      <c r="J139" s="78"/>
      <c r="K139" s="78">
        <f t="shared" si="8"/>
        <v>0</v>
      </c>
      <c r="L139" s="78"/>
      <c r="M139" s="78"/>
      <c r="N139" s="78">
        <f t="shared" si="9"/>
        <v>30</v>
      </c>
      <c r="O139" s="78"/>
      <c r="P139" s="78"/>
      <c r="Q139" s="78">
        <f t="shared" si="10"/>
        <v>2.208391606987417</v>
      </c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 spans="1:32" ht="24.95" customHeight="1" x14ac:dyDescent="0.25">
      <c r="A140" s="77">
        <f t="shared" si="11"/>
        <v>137</v>
      </c>
      <c r="B140" s="78" t="s">
        <v>895</v>
      </c>
      <c r="C140" s="78" t="str">
        <f>'LIST OF LINES'!$B$60</f>
        <v>100-40-SS-DW-15</v>
      </c>
      <c r="D140" s="78" t="s">
        <v>1286</v>
      </c>
      <c r="E140" s="78" t="s">
        <v>904</v>
      </c>
      <c r="F140" s="78" t="s">
        <v>1116</v>
      </c>
      <c r="G140" s="78" t="s">
        <v>1106</v>
      </c>
      <c r="H140" s="78" t="s">
        <v>1271</v>
      </c>
      <c r="I140" s="78" t="s">
        <v>481</v>
      </c>
      <c r="J140" s="78"/>
      <c r="K140" s="78">
        <f t="shared" si="8"/>
        <v>0</v>
      </c>
      <c r="L140" s="78"/>
      <c r="M140" s="78"/>
      <c r="N140" s="78">
        <f t="shared" si="9"/>
        <v>30</v>
      </c>
      <c r="O140" s="78"/>
      <c r="P140" s="78"/>
      <c r="Q140" s="78">
        <f t="shared" si="10"/>
        <v>2.208391606987417</v>
      </c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</row>
    <row r="141" spans="1:32" ht="24.95" customHeight="1" x14ac:dyDescent="0.25">
      <c r="A141" s="77">
        <f t="shared" si="11"/>
        <v>138</v>
      </c>
      <c r="B141" s="78" t="s">
        <v>895</v>
      </c>
      <c r="C141" s="78" t="str">
        <f>'LIST OF LINES'!B62</f>
        <v>100-40-SS-DW-17</v>
      </c>
      <c r="D141" s="78" t="s">
        <v>1287</v>
      </c>
      <c r="E141" s="78" t="s">
        <v>904</v>
      </c>
      <c r="F141" s="78" t="s">
        <v>1100</v>
      </c>
      <c r="G141" s="78" t="s">
        <v>1106</v>
      </c>
      <c r="H141" s="78" t="s">
        <v>1271</v>
      </c>
      <c r="I141" s="78" t="s">
        <v>481</v>
      </c>
      <c r="J141" s="78"/>
      <c r="K141" s="78">
        <f t="shared" si="8"/>
        <v>0</v>
      </c>
      <c r="L141" s="78"/>
      <c r="M141" s="78"/>
      <c r="N141" s="78">
        <f t="shared" si="9"/>
        <v>30</v>
      </c>
      <c r="O141" s="78"/>
      <c r="P141" s="78"/>
      <c r="Q141" s="78">
        <f t="shared" si="10"/>
        <v>2.208391606987417</v>
      </c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</row>
    <row r="142" spans="1:32" ht="24.95" customHeight="1" x14ac:dyDescent="0.25">
      <c r="A142" s="77">
        <f t="shared" si="11"/>
        <v>139</v>
      </c>
      <c r="B142" s="78" t="s">
        <v>895</v>
      </c>
      <c r="C142" s="78" t="str">
        <f>'LIST OF LINES'!B63</f>
        <v>100-40-SS-DW-18</v>
      </c>
      <c r="D142" s="78" t="s">
        <v>1288</v>
      </c>
      <c r="E142" s="78" t="s">
        <v>904</v>
      </c>
      <c r="F142" s="78" t="s">
        <v>1100</v>
      </c>
      <c r="G142" s="78" t="s">
        <v>1106</v>
      </c>
      <c r="H142" s="78" t="s">
        <v>1271</v>
      </c>
      <c r="I142" s="78" t="s">
        <v>481</v>
      </c>
      <c r="J142" s="78"/>
      <c r="K142" s="78">
        <f t="shared" si="8"/>
        <v>0</v>
      </c>
      <c r="L142" s="78"/>
      <c r="M142" s="78"/>
      <c r="N142" s="78">
        <f t="shared" si="9"/>
        <v>30</v>
      </c>
      <c r="O142" s="78"/>
      <c r="P142" s="78"/>
      <c r="Q142" s="78">
        <f t="shared" si="10"/>
        <v>2.208391606987417</v>
      </c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</row>
    <row r="143" spans="1:32" ht="24.95" customHeight="1" x14ac:dyDescent="0.25">
      <c r="A143" s="77">
        <f t="shared" si="11"/>
        <v>140</v>
      </c>
      <c r="B143" s="78" t="s">
        <v>895</v>
      </c>
      <c r="C143" s="78" t="str">
        <f>'LIST OF LINES'!$B$64</f>
        <v>25-40-SS-DW-19</v>
      </c>
      <c r="D143" s="78" t="s">
        <v>1289</v>
      </c>
      <c r="E143" s="78" t="s">
        <v>1290</v>
      </c>
      <c r="F143" s="78" t="s">
        <v>1171</v>
      </c>
      <c r="G143" s="78" t="s">
        <v>1106</v>
      </c>
      <c r="H143" s="78" t="s">
        <v>1142</v>
      </c>
      <c r="I143" s="78" t="s">
        <v>481</v>
      </c>
      <c r="J143" s="78"/>
      <c r="K143" s="78">
        <f t="shared" si="8"/>
        <v>0</v>
      </c>
      <c r="L143" s="78"/>
      <c r="M143" s="78"/>
      <c r="N143" s="78">
        <f t="shared" si="9"/>
        <v>30</v>
      </c>
      <c r="O143" s="78"/>
      <c r="P143" s="78"/>
      <c r="Q143" s="78">
        <f t="shared" si="10"/>
        <v>0.14494973216040011</v>
      </c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</row>
    <row r="144" spans="1:32" ht="24.95" customHeight="1" x14ac:dyDescent="0.25">
      <c r="A144" s="77">
        <f t="shared" si="11"/>
        <v>141</v>
      </c>
      <c r="B144" s="78" t="s">
        <v>895</v>
      </c>
      <c r="C144" s="78" t="str">
        <f>'LIST OF LINES'!$B$64</f>
        <v>25-40-SS-DW-19</v>
      </c>
      <c r="D144" s="78" t="s">
        <v>1291</v>
      </c>
      <c r="E144" s="78" t="s">
        <v>1292</v>
      </c>
      <c r="F144" s="78" t="s">
        <v>1171</v>
      </c>
      <c r="G144" s="78" t="s">
        <v>1106</v>
      </c>
      <c r="H144" s="78" t="s">
        <v>1142</v>
      </c>
      <c r="I144" s="78" t="s">
        <v>481</v>
      </c>
      <c r="J144" s="78"/>
      <c r="K144" s="78">
        <f t="shared" si="8"/>
        <v>0</v>
      </c>
      <c r="L144" s="78"/>
      <c r="M144" s="78"/>
      <c r="N144" s="78">
        <f t="shared" si="9"/>
        <v>30</v>
      </c>
      <c r="O144" s="78"/>
      <c r="P144" s="78"/>
      <c r="Q144" s="78">
        <f t="shared" si="10"/>
        <v>0.14494973216040011</v>
      </c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</row>
    <row r="145" spans="1:32" ht="24.95" customHeight="1" x14ac:dyDescent="0.25">
      <c r="A145" s="77">
        <f t="shared" si="11"/>
        <v>142</v>
      </c>
      <c r="B145" s="78" t="s">
        <v>895</v>
      </c>
      <c r="C145" s="78" t="str">
        <f>'LIST OF LINES'!$B$64</f>
        <v>25-40-SS-DW-19</v>
      </c>
      <c r="D145" s="78" t="s">
        <v>1293</v>
      </c>
      <c r="E145" s="78" t="s">
        <v>1294</v>
      </c>
      <c r="F145" s="78" t="s">
        <v>1100</v>
      </c>
      <c r="G145" s="78" t="s">
        <v>1106</v>
      </c>
      <c r="H145" s="78" t="s">
        <v>1102</v>
      </c>
      <c r="I145" s="78" t="s">
        <v>481</v>
      </c>
      <c r="J145" s="78"/>
      <c r="K145" s="78">
        <f t="shared" si="8"/>
        <v>0</v>
      </c>
      <c r="L145" s="78"/>
      <c r="M145" s="78"/>
      <c r="N145" s="78">
        <f t="shared" si="9"/>
        <v>30</v>
      </c>
      <c r="O145" s="78"/>
      <c r="P145" s="78"/>
      <c r="Q145" s="78">
        <f t="shared" si="10"/>
        <v>0.14494973216040011</v>
      </c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</row>
    <row r="146" spans="1:32" ht="24.95" customHeight="1" x14ac:dyDescent="0.25">
      <c r="A146" s="77">
        <f t="shared" si="11"/>
        <v>143</v>
      </c>
      <c r="B146" s="78" t="s">
        <v>895</v>
      </c>
      <c r="C146" s="78" t="str">
        <f>'LIST OF LINES'!$B$64</f>
        <v>25-40-SS-DW-19</v>
      </c>
      <c r="D146" s="78" t="s">
        <v>1295</v>
      </c>
      <c r="E146" s="78" t="s">
        <v>1296</v>
      </c>
      <c r="F146" s="78" t="s">
        <v>1100</v>
      </c>
      <c r="G146" s="78" t="s">
        <v>1106</v>
      </c>
      <c r="H146" s="78" t="s">
        <v>1102</v>
      </c>
      <c r="I146" s="78" t="s">
        <v>481</v>
      </c>
      <c r="J146" s="78"/>
      <c r="K146" s="78">
        <f t="shared" si="8"/>
        <v>0</v>
      </c>
      <c r="L146" s="78"/>
      <c r="M146" s="78"/>
      <c r="N146" s="78">
        <f t="shared" si="9"/>
        <v>30</v>
      </c>
      <c r="O146" s="78"/>
      <c r="P146" s="78"/>
      <c r="Q146" s="78">
        <f t="shared" si="10"/>
        <v>0.14494973216040011</v>
      </c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</row>
    <row r="147" spans="1:32" ht="24.95" customHeight="1" x14ac:dyDescent="0.25">
      <c r="A147" s="77">
        <f t="shared" si="11"/>
        <v>144</v>
      </c>
      <c r="B147" s="78" t="s">
        <v>895</v>
      </c>
      <c r="C147" s="78" t="str">
        <f>'LIST OF LINES'!$B$65</f>
        <v>25-40-SS-DW-20</v>
      </c>
      <c r="D147" s="78" t="s">
        <v>906</v>
      </c>
      <c r="E147" s="78" t="s">
        <v>905</v>
      </c>
      <c r="F147" s="78" t="s">
        <v>1100</v>
      </c>
      <c r="G147" s="78" t="s">
        <v>1101</v>
      </c>
      <c r="H147" s="78" t="s">
        <v>1102</v>
      </c>
      <c r="I147" s="78" t="s">
        <v>481</v>
      </c>
      <c r="J147" s="78"/>
      <c r="K147" s="78">
        <f t="shared" si="8"/>
        <v>0</v>
      </c>
      <c r="L147" s="78"/>
      <c r="M147" s="78"/>
      <c r="N147" s="78">
        <f t="shared" si="9"/>
        <v>30</v>
      </c>
      <c r="O147" s="78"/>
      <c r="P147" s="78"/>
      <c r="Q147" s="78">
        <f t="shared" si="10"/>
        <v>0.14494973216040011</v>
      </c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</row>
    <row r="148" spans="1:32" ht="24.95" customHeight="1" x14ac:dyDescent="0.25">
      <c r="A148" s="77">
        <f t="shared" si="11"/>
        <v>145</v>
      </c>
      <c r="B148" s="78" t="s">
        <v>895</v>
      </c>
      <c r="C148" s="78" t="str">
        <f>'LIST OF LINES'!$B$65</f>
        <v>25-40-SS-DW-20</v>
      </c>
      <c r="D148" s="78" t="s">
        <v>909</v>
      </c>
      <c r="E148" s="78" t="s">
        <v>908</v>
      </c>
      <c r="F148" s="78" t="s">
        <v>1100</v>
      </c>
      <c r="G148" s="78" t="s">
        <v>1101</v>
      </c>
      <c r="H148" s="78" t="s">
        <v>1102</v>
      </c>
      <c r="I148" s="78" t="s">
        <v>481</v>
      </c>
      <c r="J148" s="78"/>
      <c r="K148" s="78">
        <f t="shared" si="8"/>
        <v>0</v>
      </c>
      <c r="L148" s="78"/>
      <c r="M148" s="78"/>
      <c r="N148" s="78">
        <f t="shared" si="9"/>
        <v>30</v>
      </c>
      <c r="O148" s="78"/>
      <c r="P148" s="78"/>
      <c r="Q148" s="78">
        <f t="shared" si="10"/>
        <v>0.14494973216040011</v>
      </c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</row>
    <row r="149" spans="1:32" ht="24.95" customHeight="1" x14ac:dyDescent="0.25">
      <c r="A149" s="77">
        <f t="shared" si="11"/>
        <v>146</v>
      </c>
      <c r="B149" s="78" t="s">
        <v>895</v>
      </c>
      <c r="C149" s="78" t="str">
        <f>'LIST OF LINES'!$B$65</f>
        <v>25-40-SS-DW-20</v>
      </c>
      <c r="D149" s="78" t="s">
        <v>1297</v>
      </c>
      <c r="E149" s="78"/>
      <c r="F149" s="78" t="s">
        <v>1116</v>
      </c>
      <c r="G149" s="78" t="s">
        <v>1106</v>
      </c>
      <c r="H149" s="78" t="s">
        <v>1142</v>
      </c>
      <c r="I149" s="78" t="s">
        <v>481</v>
      </c>
      <c r="J149" s="78"/>
      <c r="K149" s="78">
        <f t="shared" si="8"/>
        <v>0</v>
      </c>
      <c r="L149" s="78"/>
      <c r="M149" s="78"/>
      <c r="N149" s="78">
        <f t="shared" si="9"/>
        <v>30</v>
      </c>
      <c r="O149" s="78"/>
      <c r="P149" s="78"/>
      <c r="Q149" s="78">
        <f t="shared" si="10"/>
        <v>0.14494973216040011</v>
      </c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</row>
    <row r="150" spans="1:32" ht="24.95" customHeight="1" x14ac:dyDescent="0.25">
      <c r="A150" s="77">
        <f t="shared" si="11"/>
        <v>147</v>
      </c>
      <c r="B150" s="78" t="s">
        <v>895</v>
      </c>
      <c r="C150" s="78" t="str">
        <f>'LIST OF LINES'!$B$65</f>
        <v>25-40-SS-DW-20</v>
      </c>
      <c r="D150" s="78" t="s">
        <v>1298</v>
      </c>
      <c r="E150" s="78"/>
      <c r="F150" s="78" t="s">
        <v>1116</v>
      </c>
      <c r="G150" s="78" t="s">
        <v>1106</v>
      </c>
      <c r="H150" s="78" t="s">
        <v>1142</v>
      </c>
      <c r="I150" s="78" t="s">
        <v>481</v>
      </c>
      <c r="J150" s="78"/>
      <c r="K150" s="78">
        <f t="shared" si="8"/>
        <v>0</v>
      </c>
      <c r="L150" s="78"/>
      <c r="M150" s="78"/>
      <c r="N150" s="78">
        <f t="shared" si="9"/>
        <v>30</v>
      </c>
      <c r="O150" s="78"/>
      <c r="P150" s="78"/>
      <c r="Q150" s="78">
        <f t="shared" si="10"/>
        <v>0.14494973216040011</v>
      </c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</row>
    <row r="151" spans="1:32" ht="24.95" customHeight="1" x14ac:dyDescent="0.25">
      <c r="A151" s="77">
        <f t="shared" si="11"/>
        <v>148</v>
      </c>
      <c r="B151" s="78" t="s">
        <v>895</v>
      </c>
      <c r="C151" s="78" t="str">
        <f>'LIST OF LINES'!$B$65</f>
        <v>25-40-SS-DW-20</v>
      </c>
      <c r="D151" s="78" t="s">
        <v>1299</v>
      </c>
      <c r="E151" s="78"/>
      <c r="F151" s="78" t="s">
        <v>1100</v>
      </c>
      <c r="G151" s="78" t="s">
        <v>1106</v>
      </c>
      <c r="H151" s="78" t="s">
        <v>1142</v>
      </c>
      <c r="I151" s="78" t="s">
        <v>481</v>
      </c>
      <c r="J151" s="78"/>
      <c r="K151" s="78">
        <f t="shared" si="8"/>
        <v>0</v>
      </c>
      <c r="L151" s="78"/>
      <c r="M151" s="78"/>
      <c r="N151" s="78">
        <f t="shared" si="9"/>
        <v>30</v>
      </c>
      <c r="O151" s="78"/>
      <c r="P151" s="78"/>
      <c r="Q151" s="78">
        <f t="shared" si="10"/>
        <v>0.14494973216040011</v>
      </c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</row>
    <row r="152" spans="1:32" ht="24.95" customHeight="1" x14ac:dyDescent="0.25">
      <c r="A152" s="77">
        <f t="shared" si="11"/>
        <v>149</v>
      </c>
      <c r="B152" s="78" t="s">
        <v>895</v>
      </c>
      <c r="C152" s="78" t="str">
        <f>'LIST OF LINES'!$B$65</f>
        <v>25-40-SS-DW-20</v>
      </c>
      <c r="D152" s="78" t="s">
        <v>1300</v>
      </c>
      <c r="E152" s="78"/>
      <c r="F152" s="78" t="s">
        <v>1100</v>
      </c>
      <c r="G152" s="78" t="s">
        <v>1106</v>
      </c>
      <c r="H152" s="78" t="s">
        <v>1142</v>
      </c>
      <c r="I152" s="78" t="s">
        <v>481</v>
      </c>
      <c r="J152" s="78"/>
      <c r="K152" s="78">
        <f t="shared" si="8"/>
        <v>0</v>
      </c>
      <c r="L152" s="78"/>
      <c r="M152" s="78"/>
      <c r="N152" s="78">
        <f t="shared" si="9"/>
        <v>30</v>
      </c>
      <c r="O152" s="78"/>
      <c r="P152" s="78"/>
      <c r="Q152" s="78">
        <f t="shared" si="10"/>
        <v>0.14494973216040011</v>
      </c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</row>
    <row r="153" spans="1:32" ht="24.95" customHeight="1" x14ac:dyDescent="0.25">
      <c r="A153" s="77">
        <f t="shared" si="11"/>
        <v>150</v>
      </c>
      <c r="B153" s="78" t="s">
        <v>895</v>
      </c>
      <c r="C153" s="78" t="str">
        <f>'LIST OF LINES'!$B$65</f>
        <v>25-40-SS-DW-20</v>
      </c>
      <c r="D153" s="78" t="s">
        <v>912</v>
      </c>
      <c r="E153" s="78" t="s">
        <v>911</v>
      </c>
      <c r="F153" s="78" t="s">
        <v>1100</v>
      </c>
      <c r="G153" s="78" t="s">
        <v>1101</v>
      </c>
      <c r="H153" s="78" t="s">
        <v>1102</v>
      </c>
      <c r="I153" s="78" t="s">
        <v>481</v>
      </c>
      <c r="J153" s="78"/>
      <c r="K153" s="78">
        <f t="shared" si="8"/>
        <v>0</v>
      </c>
      <c r="L153" s="78"/>
      <c r="M153" s="78"/>
      <c r="N153" s="78">
        <f t="shared" si="9"/>
        <v>30</v>
      </c>
      <c r="O153" s="78"/>
      <c r="P153" s="78"/>
      <c r="Q153" s="78">
        <f t="shared" si="10"/>
        <v>0.14494973216040011</v>
      </c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</row>
    <row r="154" spans="1:32" ht="24.95" customHeight="1" x14ac:dyDescent="0.25">
      <c r="A154" s="77">
        <f t="shared" si="11"/>
        <v>151</v>
      </c>
      <c r="B154" s="78" t="s">
        <v>895</v>
      </c>
      <c r="C154" s="78" t="str">
        <f>'LIST OF LINES'!$B$65</f>
        <v>25-40-SS-DW-20</v>
      </c>
      <c r="D154" s="78" t="s">
        <v>915</v>
      </c>
      <c r="E154" s="78" t="s">
        <v>914</v>
      </c>
      <c r="F154" s="78" t="s">
        <v>1100</v>
      </c>
      <c r="G154" s="78" t="s">
        <v>1101</v>
      </c>
      <c r="H154" s="78" t="s">
        <v>1102</v>
      </c>
      <c r="I154" s="78" t="s">
        <v>481</v>
      </c>
      <c r="J154" s="78"/>
      <c r="K154" s="78">
        <f t="shared" si="8"/>
        <v>0</v>
      </c>
      <c r="L154" s="78"/>
      <c r="M154" s="78"/>
      <c r="N154" s="78">
        <f t="shared" si="9"/>
        <v>30</v>
      </c>
      <c r="O154" s="78"/>
      <c r="P154" s="78"/>
      <c r="Q154" s="78">
        <f t="shared" si="10"/>
        <v>0.14494973216040011</v>
      </c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</row>
    <row r="155" spans="1:32" ht="24.95" customHeight="1" x14ac:dyDescent="0.25">
      <c r="A155" s="77">
        <f t="shared" si="11"/>
        <v>152</v>
      </c>
      <c r="B155" s="78" t="s">
        <v>895</v>
      </c>
      <c r="C155" s="78" t="str">
        <f>'LIST OF LINES'!B66</f>
        <v>25-40-SS-DW-21</v>
      </c>
      <c r="D155" s="78" t="s">
        <v>1301</v>
      </c>
      <c r="E155" s="78"/>
      <c r="F155" s="78" t="s">
        <v>1302</v>
      </c>
      <c r="G155" s="78" t="s">
        <v>1106</v>
      </c>
      <c r="H155" s="78" t="s">
        <v>1142</v>
      </c>
      <c r="I155" s="78" t="s">
        <v>481</v>
      </c>
      <c r="J155" s="78"/>
      <c r="K155" s="78">
        <f t="shared" si="8"/>
        <v>0</v>
      </c>
      <c r="L155" s="78"/>
      <c r="M155" s="78"/>
      <c r="N155" s="78">
        <f t="shared" si="9"/>
        <v>30</v>
      </c>
      <c r="O155" s="78"/>
      <c r="P155" s="78"/>
      <c r="Q155" s="78">
        <f t="shared" si="10"/>
        <v>0.14494973216040011</v>
      </c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</row>
    <row r="156" spans="1:32" ht="24.95" customHeight="1" x14ac:dyDescent="0.25">
      <c r="A156" s="77">
        <f t="shared" si="11"/>
        <v>153</v>
      </c>
      <c r="B156" s="78" t="s">
        <v>895</v>
      </c>
      <c r="C156" s="78" t="str">
        <f>'LIST OF LINES'!B67</f>
        <v>25-40-SS-DW-22</v>
      </c>
      <c r="D156" s="78" t="s">
        <v>1303</v>
      </c>
      <c r="E156" s="78" t="s">
        <v>1304</v>
      </c>
      <c r="F156" s="78" t="s">
        <v>1100</v>
      </c>
      <c r="G156" s="78" t="s">
        <v>1106</v>
      </c>
      <c r="H156" s="78" t="s">
        <v>1142</v>
      </c>
      <c r="I156" s="78" t="s">
        <v>481</v>
      </c>
      <c r="J156" s="78"/>
      <c r="K156" s="78">
        <f t="shared" si="8"/>
        <v>0</v>
      </c>
      <c r="L156" s="78"/>
      <c r="M156" s="78"/>
      <c r="N156" s="78">
        <f t="shared" si="9"/>
        <v>30</v>
      </c>
      <c r="O156" s="78"/>
      <c r="P156" s="78"/>
      <c r="Q156" s="78">
        <f t="shared" si="10"/>
        <v>0.14494973216040011</v>
      </c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</row>
    <row r="157" spans="1:32" ht="24.95" customHeight="1" x14ac:dyDescent="0.25">
      <c r="A157" s="77">
        <f t="shared" si="11"/>
        <v>154</v>
      </c>
      <c r="B157" s="78" t="s">
        <v>895</v>
      </c>
      <c r="C157" s="78" t="str">
        <f>'LIST OF LINES'!B67</f>
        <v>25-40-SS-DW-22</v>
      </c>
      <c r="D157" s="78" t="s">
        <v>1305</v>
      </c>
      <c r="E157" s="78"/>
      <c r="F157" s="78" t="s">
        <v>1123</v>
      </c>
      <c r="G157" s="78" t="s">
        <v>1106</v>
      </c>
      <c r="H157" s="78" t="s">
        <v>1142</v>
      </c>
      <c r="I157" s="78" t="s">
        <v>481</v>
      </c>
      <c r="J157" s="78"/>
      <c r="K157" s="78">
        <f t="shared" si="8"/>
        <v>0</v>
      </c>
      <c r="L157" s="78"/>
      <c r="M157" s="78"/>
      <c r="N157" s="78">
        <f t="shared" si="9"/>
        <v>30</v>
      </c>
      <c r="O157" s="78"/>
      <c r="P157" s="78"/>
      <c r="Q157" s="78">
        <f t="shared" si="10"/>
        <v>0.14494973216040011</v>
      </c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</row>
    <row r="158" spans="1:32" ht="24.95" customHeight="1" x14ac:dyDescent="0.25">
      <c r="A158" s="77">
        <f t="shared" si="11"/>
        <v>155</v>
      </c>
      <c r="B158" s="78" t="s">
        <v>895</v>
      </c>
      <c r="C158" s="78" t="str">
        <f>LIST_OF_EQUIPMENT!$B$3</f>
        <v>LTFV</v>
      </c>
      <c r="D158" s="78" t="s">
        <v>1306</v>
      </c>
      <c r="E158" s="78" t="s">
        <v>918</v>
      </c>
      <c r="F158" s="78" t="s">
        <v>1100</v>
      </c>
      <c r="G158" s="78" t="s">
        <v>1106</v>
      </c>
      <c r="H158" s="78" t="s">
        <v>1142</v>
      </c>
      <c r="I158" s="78" t="s">
        <v>481</v>
      </c>
      <c r="J158" s="78"/>
      <c r="K158" s="78">
        <f t="shared" si="8"/>
        <v>6.7969461000000009E-2</v>
      </c>
      <c r="L158" s="78"/>
      <c r="M158" s="78"/>
      <c r="N158" s="78">
        <f t="shared" si="9"/>
        <v>38.388778286519027</v>
      </c>
      <c r="O158" s="78"/>
      <c r="P158" s="78"/>
      <c r="Q158" s="78" t="str">
        <f t="shared" si="10"/>
        <v/>
      </c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</row>
    <row r="159" spans="1:32" ht="24.95" customHeight="1" x14ac:dyDescent="0.25">
      <c r="A159" s="77">
        <f t="shared" si="11"/>
        <v>156</v>
      </c>
      <c r="B159" s="78" t="s">
        <v>895</v>
      </c>
      <c r="C159" s="78" t="str">
        <f>LIST_OF_EQUIPMENT!$B$3</f>
        <v>LTFV</v>
      </c>
      <c r="D159" s="78" t="s">
        <v>1307</v>
      </c>
      <c r="E159" s="78" t="s">
        <v>918</v>
      </c>
      <c r="F159" s="78" t="s">
        <v>1100</v>
      </c>
      <c r="G159" s="78" t="s">
        <v>1106</v>
      </c>
      <c r="H159" s="78" t="s">
        <v>1142</v>
      </c>
      <c r="I159" s="78" t="s">
        <v>481</v>
      </c>
      <c r="J159" s="78"/>
      <c r="K159" s="78">
        <f t="shared" si="8"/>
        <v>6.7969461000000009E-2</v>
      </c>
      <c r="L159" s="78"/>
      <c r="M159" s="78"/>
      <c r="N159" s="78">
        <f t="shared" si="9"/>
        <v>38.388778286519027</v>
      </c>
      <c r="O159" s="78"/>
      <c r="P159" s="78"/>
      <c r="Q159" s="78" t="str">
        <f t="shared" si="10"/>
        <v/>
      </c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</row>
    <row r="160" spans="1:32" ht="24.95" customHeight="1" x14ac:dyDescent="0.25">
      <c r="A160" s="77">
        <f t="shared" si="11"/>
        <v>157</v>
      </c>
      <c r="B160" s="78" t="s">
        <v>895</v>
      </c>
      <c r="C160" s="78" t="str">
        <f>LIST_OF_EQUIPMENT!$B$3</f>
        <v>LTFV</v>
      </c>
      <c r="D160" s="78" t="s">
        <v>1308</v>
      </c>
      <c r="E160" s="78" t="s">
        <v>1309</v>
      </c>
      <c r="F160" s="78" t="s">
        <v>1100</v>
      </c>
      <c r="G160" s="78" t="s">
        <v>1101</v>
      </c>
      <c r="H160" s="78" t="s">
        <v>1102</v>
      </c>
      <c r="I160" s="78" t="s">
        <v>481</v>
      </c>
      <c r="J160" s="78"/>
      <c r="K160" s="78">
        <f t="shared" si="8"/>
        <v>6.7969461000000009E-2</v>
      </c>
      <c r="L160" s="78"/>
      <c r="M160" s="78"/>
      <c r="N160" s="78">
        <f t="shared" si="9"/>
        <v>38.388778286519027</v>
      </c>
      <c r="O160" s="78"/>
      <c r="P160" s="78"/>
      <c r="Q160" s="78" t="str">
        <f t="shared" si="10"/>
        <v/>
      </c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</row>
    <row r="161" spans="1:32" ht="24.95" customHeight="1" x14ac:dyDescent="0.25">
      <c r="A161" s="77">
        <f t="shared" si="11"/>
        <v>158</v>
      </c>
      <c r="B161" s="78" t="s">
        <v>895</v>
      </c>
      <c r="C161" s="78" t="str">
        <f>LIST_OF_EQUIPMENT!$B$3</f>
        <v>LTFV</v>
      </c>
      <c r="D161" s="78" t="s">
        <v>1310</v>
      </c>
      <c r="E161" s="78" t="s">
        <v>1311</v>
      </c>
      <c r="F161" s="78" t="s">
        <v>1100</v>
      </c>
      <c r="G161" s="78" t="s">
        <v>1101</v>
      </c>
      <c r="H161" s="78" t="s">
        <v>1102</v>
      </c>
      <c r="I161" s="78" t="s">
        <v>481</v>
      </c>
      <c r="J161" s="78"/>
      <c r="K161" s="78">
        <f t="shared" si="8"/>
        <v>6.7969461000000009E-2</v>
      </c>
      <c r="L161" s="78"/>
      <c r="M161" s="78"/>
      <c r="N161" s="78">
        <f t="shared" si="9"/>
        <v>38.388778286519027</v>
      </c>
      <c r="O161" s="78"/>
      <c r="P161" s="78"/>
      <c r="Q161" s="78" t="str">
        <f t="shared" si="10"/>
        <v/>
      </c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</row>
    <row r="162" spans="1:32" ht="24.95" customHeight="1" x14ac:dyDescent="0.25">
      <c r="A162" s="77">
        <f t="shared" si="11"/>
        <v>159</v>
      </c>
      <c r="B162" s="78" t="s">
        <v>895</v>
      </c>
      <c r="C162" s="78" t="str">
        <f>'LIST OF LINES'!$B$68</f>
        <v>300-40-SS-DW-23</v>
      </c>
      <c r="D162" s="78" t="s">
        <v>1312</v>
      </c>
      <c r="E162" s="78" t="s">
        <v>1313</v>
      </c>
      <c r="F162" s="78" t="s">
        <v>1171</v>
      </c>
      <c r="G162" s="78" t="s">
        <v>1106</v>
      </c>
      <c r="H162" s="78" t="s">
        <v>1142</v>
      </c>
      <c r="I162" s="78" t="s">
        <v>481</v>
      </c>
      <c r="J162" s="78"/>
      <c r="K162" s="78">
        <f t="shared" si="8"/>
        <v>0</v>
      </c>
      <c r="L162" s="78"/>
      <c r="M162" s="78"/>
      <c r="N162" s="78">
        <f t="shared" si="9"/>
        <v>38.39</v>
      </c>
      <c r="O162" s="78"/>
      <c r="P162" s="78"/>
      <c r="Q162" s="78">
        <f t="shared" si="10"/>
        <v>21.610108300192636</v>
      </c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</row>
    <row r="163" spans="1:32" ht="24.95" customHeight="1" x14ac:dyDescent="0.25">
      <c r="A163" s="77">
        <f t="shared" si="11"/>
        <v>160</v>
      </c>
      <c r="B163" s="78" t="s">
        <v>895</v>
      </c>
      <c r="C163" s="78" t="str">
        <f>'LIST OF LINES'!$B$68</f>
        <v>300-40-SS-DW-23</v>
      </c>
      <c r="D163" s="78" t="s">
        <v>1314</v>
      </c>
      <c r="E163" s="78" t="s">
        <v>1315</v>
      </c>
      <c r="F163" s="78" t="s">
        <v>1171</v>
      </c>
      <c r="G163" s="78" t="s">
        <v>1106</v>
      </c>
      <c r="H163" s="78" t="s">
        <v>1142</v>
      </c>
      <c r="I163" s="78" t="s">
        <v>481</v>
      </c>
      <c r="J163" s="78"/>
      <c r="K163" s="78">
        <f t="shared" si="8"/>
        <v>0</v>
      </c>
      <c r="L163" s="78"/>
      <c r="M163" s="78"/>
      <c r="N163" s="78">
        <f t="shared" si="9"/>
        <v>38.39</v>
      </c>
      <c r="O163" s="78"/>
      <c r="P163" s="78"/>
      <c r="Q163" s="78">
        <f t="shared" si="10"/>
        <v>21.610108300192636</v>
      </c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</row>
    <row r="164" spans="1:32" ht="24.95" customHeight="1" x14ac:dyDescent="0.25">
      <c r="A164" s="77">
        <f t="shared" si="11"/>
        <v>161</v>
      </c>
      <c r="B164" s="78" t="s">
        <v>895</v>
      </c>
      <c r="C164" s="78" t="str">
        <f>'LIST OF LINES'!$B$68</f>
        <v>300-40-SS-DW-23</v>
      </c>
      <c r="D164" s="78" t="s">
        <v>1316</v>
      </c>
      <c r="E164" s="78" t="s">
        <v>1317</v>
      </c>
      <c r="F164" s="78" t="s">
        <v>1100</v>
      </c>
      <c r="G164" s="78" t="s">
        <v>1106</v>
      </c>
      <c r="H164" s="78" t="s">
        <v>1102</v>
      </c>
      <c r="I164" s="78" t="s">
        <v>481</v>
      </c>
      <c r="J164" s="78"/>
      <c r="K164" s="78">
        <f t="shared" si="8"/>
        <v>0</v>
      </c>
      <c r="L164" s="78"/>
      <c r="M164" s="78"/>
      <c r="N164" s="78">
        <f t="shared" si="9"/>
        <v>38.39</v>
      </c>
      <c r="O164" s="78"/>
      <c r="P164" s="78"/>
      <c r="Q164" s="78">
        <f t="shared" si="10"/>
        <v>21.610108300192636</v>
      </c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</row>
    <row r="165" spans="1:32" ht="24.95" customHeight="1" x14ac:dyDescent="0.25">
      <c r="A165" s="77">
        <f t="shared" si="11"/>
        <v>162</v>
      </c>
      <c r="B165" s="78" t="s">
        <v>895</v>
      </c>
      <c r="C165" s="78" t="str">
        <f>'LIST OF LINES'!$B$68</f>
        <v>300-40-SS-DW-23</v>
      </c>
      <c r="D165" s="78" t="s">
        <v>1318</v>
      </c>
      <c r="E165" s="78" t="s">
        <v>1319</v>
      </c>
      <c r="F165" s="78" t="s">
        <v>1100</v>
      </c>
      <c r="G165" s="78" t="s">
        <v>1106</v>
      </c>
      <c r="H165" s="78" t="s">
        <v>1102</v>
      </c>
      <c r="I165" s="78" t="s">
        <v>481</v>
      </c>
      <c r="J165" s="78"/>
      <c r="K165" s="78">
        <f t="shared" si="8"/>
        <v>0</v>
      </c>
      <c r="L165" s="78"/>
      <c r="M165" s="78"/>
      <c r="N165" s="78">
        <f t="shared" si="9"/>
        <v>38.39</v>
      </c>
      <c r="O165" s="78"/>
      <c r="P165" s="78"/>
      <c r="Q165" s="78">
        <f t="shared" si="10"/>
        <v>21.610108300192636</v>
      </c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</row>
    <row r="166" spans="1:32" ht="24.95" customHeight="1" x14ac:dyDescent="0.25">
      <c r="A166" s="77">
        <f t="shared" si="11"/>
        <v>163</v>
      </c>
      <c r="B166" s="78" t="s">
        <v>895</v>
      </c>
      <c r="C166" s="78" t="str">
        <f>'LIST OF LINES'!$B$69</f>
        <v>80-40-SS-DW-24</v>
      </c>
      <c r="D166" s="78" t="s">
        <v>1320</v>
      </c>
      <c r="E166" s="78" t="s">
        <v>924</v>
      </c>
      <c r="F166" s="78" t="s">
        <v>1100</v>
      </c>
      <c r="G166" s="78" t="s">
        <v>1101</v>
      </c>
      <c r="H166" s="78" t="s">
        <v>1102</v>
      </c>
      <c r="I166" s="78" t="s">
        <v>481</v>
      </c>
      <c r="J166" s="78"/>
      <c r="K166" s="78">
        <f t="shared" si="8"/>
        <v>0</v>
      </c>
      <c r="L166" s="78"/>
      <c r="M166" s="78"/>
      <c r="N166" s="78">
        <f t="shared" si="9"/>
        <v>38.39</v>
      </c>
      <c r="O166" s="78"/>
      <c r="P166" s="78"/>
      <c r="Q166" s="78">
        <f t="shared" si="10"/>
        <v>21.610108300192636</v>
      </c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</row>
    <row r="167" spans="1:32" ht="24.95" customHeight="1" x14ac:dyDescent="0.25">
      <c r="A167" s="77">
        <f t="shared" si="11"/>
        <v>164</v>
      </c>
      <c r="B167" s="78" t="s">
        <v>895</v>
      </c>
      <c r="C167" s="78" t="str">
        <f>'LIST OF LINES'!$B$69</f>
        <v>80-40-SS-DW-24</v>
      </c>
      <c r="D167" s="78" t="s">
        <v>1321</v>
      </c>
      <c r="E167" s="78" t="s">
        <v>926</v>
      </c>
      <c r="F167" s="78" t="s">
        <v>1100</v>
      </c>
      <c r="G167" s="78" t="s">
        <v>1101</v>
      </c>
      <c r="H167" s="78" t="s">
        <v>1102</v>
      </c>
      <c r="I167" s="78" t="s">
        <v>481</v>
      </c>
      <c r="J167" s="78"/>
      <c r="K167" s="78">
        <f t="shared" si="8"/>
        <v>0</v>
      </c>
      <c r="L167" s="78"/>
      <c r="M167" s="78"/>
      <c r="N167" s="78">
        <f t="shared" si="9"/>
        <v>38.39</v>
      </c>
      <c r="O167" s="78"/>
      <c r="P167" s="78"/>
      <c r="Q167" s="78">
        <f t="shared" si="10"/>
        <v>21.610108300192636</v>
      </c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</row>
    <row r="168" spans="1:32" ht="24.95" customHeight="1" x14ac:dyDescent="0.25">
      <c r="A168" s="77">
        <f t="shared" si="11"/>
        <v>165</v>
      </c>
      <c r="B168" s="78" t="s">
        <v>895</v>
      </c>
      <c r="C168" s="78" t="str">
        <f>'LIST OF LINES'!$B$69</f>
        <v>80-40-SS-DW-24</v>
      </c>
      <c r="D168" s="78" t="s">
        <v>1322</v>
      </c>
      <c r="E168" s="78" t="s">
        <v>1323</v>
      </c>
      <c r="F168" s="78" t="s">
        <v>1116</v>
      </c>
      <c r="G168" s="78" t="s">
        <v>1106</v>
      </c>
      <c r="H168" s="78" t="s">
        <v>1191</v>
      </c>
      <c r="I168" s="78" t="s">
        <v>481</v>
      </c>
      <c r="J168" s="78"/>
      <c r="K168" s="78">
        <f t="shared" si="8"/>
        <v>0</v>
      </c>
      <c r="L168" s="78"/>
      <c r="M168" s="78"/>
      <c r="N168" s="78">
        <f t="shared" si="9"/>
        <v>38.39</v>
      </c>
      <c r="O168" s="78"/>
      <c r="P168" s="78"/>
      <c r="Q168" s="78">
        <f t="shared" si="10"/>
        <v>21.610108300192636</v>
      </c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</row>
    <row r="169" spans="1:32" ht="24.95" customHeight="1" x14ac:dyDescent="0.25">
      <c r="A169" s="77">
        <f t="shared" si="11"/>
        <v>166</v>
      </c>
      <c r="B169" s="78" t="s">
        <v>895</v>
      </c>
      <c r="C169" s="78" t="str">
        <f>'LIST OF LINES'!$B$69</f>
        <v>80-40-SS-DW-24</v>
      </c>
      <c r="D169" s="78" t="s">
        <v>1324</v>
      </c>
      <c r="E169" s="78" t="s">
        <v>1325</v>
      </c>
      <c r="F169" s="78" t="s">
        <v>1116</v>
      </c>
      <c r="G169" s="78" t="s">
        <v>1106</v>
      </c>
      <c r="H169" s="78" t="s">
        <v>1191</v>
      </c>
      <c r="I169" s="78" t="s">
        <v>481</v>
      </c>
      <c r="J169" s="78"/>
      <c r="K169" s="78">
        <f t="shared" si="8"/>
        <v>0</v>
      </c>
      <c r="L169" s="78"/>
      <c r="M169" s="78"/>
      <c r="N169" s="78">
        <f t="shared" si="9"/>
        <v>38.39</v>
      </c>
      <c r="O169" s="78"/>
      <c r="P169" s="78"/>
      <c r="Q169" s="78">
        <f t="shared" si="10"/>
        <v>21.610108300192636</v>
      </c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</row>
    <row r="170" spans="1:32" ht="24.95" customHeight="1" x14ac:dyDescent="0.25">
      <c r="A170" s="77">
        <f t="shared" si="11"/>
        <v>167</v>
      </c>
      <c r="B170" s="78" t="s">
        <v>895</v>
      </c>
      <c r="C170" s="78" t="str">
        <f>'LIST OF LINES'!$B$69</f>
        <v>80-40-SS-DW-24</v>
      </c>
      <c r="D170" s="78" t="s">
        <v>1326</v>
      </c>
      <c r="E170" s="78" t="s">
        <v>1323</v>
      </c>
      <c r="F170" s="78" t="s">
        <v>1100</v>
      </c>
      <c r="G170" s="78" t="s">
        <v>1106</v>
      </c>
      <c r="H170" s="78" t="s">
        <v>1191</v>
      </c>
      <c r="I170" s="78" t="s">
        <v>481</v>
      </c>
      <c r="J170" s="78"/>
      <c r="K170" s="78">
        <f t="shared" si="8"/>
        <v>0</v>
      </c>
      <c r="L170" s="78"/>
      <c r="M170" s="78"/>
      <c r="N170" s="78">
        <f t="shared" si="9"/>
        <v>38.39</v>
      </c>
      <c r="O170" s="78"/>
      <c r="P170" s="78"/>
      <c r="Q170" s="78">
        <f t="shared" si="10"/>
        <v>21.610108300192636</v>
      </c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</row>
    <row r="171" spans="1:32" ht="24.95" customHeight="1" x14ac:dyDescent="0.25">
      <c r="A171" s="77">
        <f t="shared" si="11"/>
        <v>168</v>
      </c>
      <c r="B171" s="78" t="s">
        <v>895</v>
      </c>
      <c r="C171" s="78" t="str">
        <f>'LIST OF LINES'!$B$69</f>
        <v>80-40-SS-DW-24</v>
      </c>
      <c r="D171" s="78" t="s">
        <v>1327</v>
      </c>
      <c r="E171" s="78" t="s">
        <v>1325</v>
      </c>
      <c r="F171" s="78" t="s">
        <v>1100</v>
      </c>
      <c r="G171" s="78" t="s">
        <v>1106</v>
      </c>
      <c r="H171" s="78" t="s">
        <v>1191</v>
      </c>
      <c r="I171" s="78" t="s">
        <v>481</v>
      </c>
      <c r="J171" s="78"/>
      <c r="K171" s="78">
        <f t="shared" si="8"/>
        <v>0</v>
      </c>
      <c r="L171" s="78"/>
      <c r="M171" s="78"/>
      <c r="N171" s="78">
        <f t="shared" si="9"/>
        <v>38.39</v>
      </c>
      <c r="O171" s="78"/>
      <c r="P171" s="78"/>
      <c r="Q171" s="78">
        <f t="shared" si="10"/>
        <v>21.610108300192636</v>
      </c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</row>
    <row r="172" spans="1:32" ht="24.95" customHeight="1" x14ac:dyDescent="0.25">
      <c r="A172" s="77">
        <f t="shared" si="11"/>
        <v>169</v>
      </c>
      <c r="B172" s="78" t="s">
        <v>895</v>
      </c>
      <c r="C172" s="78" t="str">
        <f>'LIST OF LINES'!$B$69</f>
        <v>80-40-SS-DW-24</v>
      </c>
      <c r="D172" s="78" t="s">
        <v>1328</v>
      </c>
      <c r="E172" s="78" t="s">
        <v>928</v>
      </c>
      <c r="F172" s="78" t="s">
        <v>1100</v>
      </c>
      <c r="G172" s="78" t="s">
        <v>1101</v>
      </c>
      <c r="H172" s="78" t="s">
        <v>1102</v>
      </c>
      <c r="I172" s="78" t="s">
        <v>481</v>
      </c>
      <c r="J172" s="78"/>
      <c r="K172" s="78">
        <f t="shared" si="8"/>
        <v>0</v>
      </c>
      <c r="L172" s="78"/>
      <c r="M172" s="78"/>
      <c r="N172" s="78">
        <f t="shared" si="9"/>
        <v>38.39</v>
      </c>
      <c r="O172" s="78"/>
      <c r="P172" s="78"/>
      <c r="Q172" s="78">
        <f t="shared" si="10"/>
        <v>21.610108300192636</v>
      </c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</row>
    <row r="173" spans="1:32" ht="24.95" customHeight="1" x14ac:dyDescent="0.25">
      <c r="A173" s="77">
        <f t="shared" si="11"/>
        <v>170</v>
      </c>
      <c r="B173" s="78" t="s">
        <v>895</v>
      </c>
      <c r="C173" s="78" t="str">
        <f>'LIST OF LINES'!$B$69</f>
        <v>80-40-SS-DW-24</v>
      </c>
      <c r="D173" s="78" t="s">
        <v>1329</v>
      </c>
      <c r="E173" s="78" t="s">
        <v>930</v>
      </c>
      <c r="F173" s="78" t="s">
        <v>1100</v>
      </c>
      <c r="G173" s="78" t="s">
        <v>1101</v>
      </c>
      <c r="H173" s="78" t="s">
        <v>1102</v>
      </c>
      <c r="I173" s="78" t="s">
        <v>481</v>
      </c>
      <c r="J173" s="78"/>
      <c r="K173" s="78">
        <f t="shared" si="8"/>
        <v>0</v>
      </c>
      <c r="L173" s="78"/>
      <c r="M173" s="78"/>
      <c r="N173" s="78">
        <f t="shared" si="9"/>
        <v>38.39</v>
      </c>
      <c r="O173" s="78"/>
      <c r="P173" s="78"/>
      <c r="Q173" s="78">
        <f t="shared" si="10"/>
        <v>21.610108300192636</v>
      </c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</row>
    <row r="174" spans="1:32" ht="24.95" customHeight="1" x14ac:dyDescent="0.25">
      <c r="A174" s="77">
        <f t="shared" si="11"/>
        <v>171</v>
      </c>
      <c r="B174" s="78" t="s">
        <v>895</v>
      </c>
      <c r="C174" s="78" t="str">
        <f>'LIST OF LINES'!B71</f>
        <v>15-40-SS-DW-26</v>
      </c>
      <c r="D174" s="78" t="s">
        <v>1330</v>
      </c>
      <c r="E174" s="78" t="s">
        <v>1331</v>
      </c>
      <c r="F174" s="78" t="s">
        <v>1100</v>
      </c>
      <c r="G174" s="78" t="s">
        <v>1106</v>
      </c>
      <c r="H174" s="78" t="s">
        <v>1102</v>
      </c>
      <c r="I174" s="78" t="s">
        <v>481</v>
      </c>
      <c r="J174" s="78"/>
      <c r="K174" s="78">
        <f t="shared" si="8"/>
        <v>0</v>
      </c>
      <c r="L174" s="78"/>
      <c r="M174" s="78"/>
      <c r="N174" s="78">
        <f t="shared" si="9"/>
        <v>70</v>
      </c>
      <c r="O174" s="78"/>
      <c r="P174" s="78"/>
      <c r="Q174" s="78">
        <f t="shared" si="10"/>
        <v>11.271623871010066</v>
      </c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</row>
    <row r="175" spans="1:32" ht="24.95" customHeight="1" x14ac:dyDescent="0.25">
      <c r="A175" s="77">
        <f t="shared" si="11"/>
        <v>172</v>
      </c>
      <c r="B175" s="78" t="s">
        <v>895</v>
      </c>
      <c r="C175" s="78" t="str">
        <f>'LIST OF LINES'!B71</f>
        <v>15-40-SS-DW-26</v>
      </c>
      <c r="D175" s="78" t="s">
        <v>1332</v>
      </c>
      <c r="E175" s="78"/>
      <c r="F175" s="78" t="s">
        <v>1123</v>
      </c>
      <c r="G175" s="78" t="s">
        <v>1106</v>
      </c>
      <c r="H175" s="78" t="s">
        <v>1102</v>
      </c>
      <c r="I175" s="78" t="s">
        <v>481</v>
      </c>
      <c r="J175" s="78"/>
      <c r="K175" s="78">
        <f t="shared" si="8"/>
        <v>0</v>
      </c>
      <c r="L175" s="78"/>
      <c r="M175" s="78"/>
      <c r="N175" s="78">
        <f t="shared" si="9"/>
        <v>70</v>
      </c>
      <c r="O175" s="78"/>
      <c r="P175" s="78"/>
      <c r="Q175" s="78">
        <f t="shared" si="10"/>
        <v>11.271623871010066</v>
      </c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</row>
    <row r="176" spans="1:32" ht="24.95" customHeight="1" x14ac:dyDescent="0.25">
      <c r="A176" s="77">
        <f t="shared" si="11"/>
        <v>173</v>
      </c>
      <c r="B176" s="78" t="s">
        <v>895</v>
      </c>
      <c r="C176" s="78" t="str">
        <f>LIST_OF_EQUIPMENT!$B$4</f>
        <v>HTFV</v>
      </c>
      <c r="D176" s="78" t="s">
        <v>1333</v>
      </c>
      <c r="E176" s="78" t="s">
        <v>937</v>
      </c>
      <c r="F176" s="78" t="s">
        <v>1100</v>
      </c>
      <c r="G176" s="78" t="s">
        <v>1106</v>
      </c>
      <c r="H176" s="78" t="s">
        <v>1142</v>
      </c>
      <c r="I176" s="78" t="s">
        <v>481</v>
      </c>
      <c r="J176" s="78"/>
      <c r="K176" s="78">
        <f t="shared" si="8"/>
        <v>0.32045592342197199</v>
      </c>
      <c r="L176" s="78"/>
      <c r="M176" s="78"/>
      <c r="N176" s="78">
        <f t="shared" si="9"/>
        <v>70.600000000000023</v>
      </c>
      <c r="O176" s="78"/>
      <c r="P176" s="78"/>
      <c r="Q176" s="78" t="str">
        <f t="shared" si="10"/>
        <v/>
      </c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</row>
    <row r="177" spans="1:32" ht="24.95" customHeight="1" x14ac:dyDescent="0.25">
      <c r="A177" s="77">
        <f t="shared" si="11"/>
        <v>174</v>
      </c>
      <c r="B177" s="78" t="s">
        <v>895</v>
      </c>
      <c r="C177" s="78" t="str">
        <f>LIST_OF_EQUIPMENT!$B$4</f>
        <v>HTFV</v>
      </c>
      <c r="D177" s="78" t="s">
        <v>1334</v>
      </c>
      <c r="E177" s="78" t="s">
        <v>937</v>
      </c>
      <c r="F177" s="78" t="s">
        <v>1100</v>
      </c>
      <c r="G177" s="78" t="s">
        <v>1106</v>
      </c>
      <c r="H177" s="78" t="s">
        <v>1142</v>
      </c>
      <c r="I177" s="78" t="s">
        <v>481</v>
      </c>
      <c r="J177" s="78"/>
      <c r="K177" s="78">
        <f t="shared" si="8"/>
        <v>0.32045592342197199</v>
      </c>
      <c r="L177" s="78"/>
      <c r="M177" s="78"/>
      <c r="N177" s="78">
        <f t="shared" si="9"/>
        <v>70.600000000000023</v>
      </c>
      <c r="O177" s="78"/>
      <c r="P177" s="78"/>
      <c r="Q177" s="78" t="str">
        <f t="shared" si="10"/>
        <v/>
      </c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</row>
    <row r="178" spans="1:32" ht="24.95" customHeight="1" x14ac:dyDescent="0.25">
      <c r="A178" s="77">
        <f t="shared" si="11"/>
        <v>175</v>
      </c>
      <c r="B178" s="78" t="s">
        <v>895</v>
      </c>
      <c r="C178" s="78" t="str">
        <f>LIST_OF_EQUIPMENT!$B$4</f>
        <v>HTFV</v>
      </c>
      <c r="D178" s="78" t="s">
        <v>1335</v>
      </c>
      <c r="E178" s="78" t="s">
        <v>1336</v>
      </c>
      <c r="F178" s="78" t="s">
        <v>1100</v>
      </c>
      <c r="G178" s="78" t="s">
        <v>1101</v>
      </c>
      <c r="H178" s="78" t="s">
        <v>1102</v>
      </c>
      <c r="I178" s="78" t="s">
        <v>481</v>
      </c>
      <c r="J178" s="78"/>
      <c r="K178" s="78">
        <f t="shared" si="8"/>
        <v>0.32045592342197199</v>
      </c>
      <c r="L178" s="78"/>
      <c r="M178" s="78"/>
      <c r="N178" s="78">
        <f t="shared" si="9"/>
        <v>70.600000000000023</v>
      </c>
      <c r="O178" s="78"/>
      <c r="P178" s="78"/>
      <c r="Q178" s="78" t="str">
        <f t="shared" si="10"/>
        <v/>
      </c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</row>
    <row r="179" spans="1:32" ht="24.95" customHeight="1" x14ac:dyDescent="0.25">
      <c r="A179" s="77">
        <f t="shared" si="11"/>
        <v>176</v>
      </c>
      <c r="B179" s="78" t="s">
        <v>895</v>
      </c>
      <c r="C179" s="78" t="str">
        <f>LIST_OF_EQUIPMENT!$B$4</f>
        <v>HTFV</v>
      </c>
      <c r="D179" s="78" t="s">
        <v>1337</v>
      </c>
      <c r="E179" s="78" t="s">
        <v>1338</v>
      </c>
      <c r="F179" s="78" t="s">
        <v>1100</v>
      </c>
      <c r="G179" s="78" t="s">
        <v>1101</v>
      </c>
      <c r="H179" s="78" t="s">
        <v>1102</v>
      </c>
      <c r="I179" s="78" t="s">
        <v>481</v>
      </c>
      <c r="J179" s="78"/>
      <c r="K179" s="78">
        <f t="shared" si="8"/>
        <v>0.32045592342197199</v>
      </c>
      <c r="L179" s="78"/>
      <c r="M179" s="78"/>
      <c r="N179" s="78">
        <f t="shared" si="9"/>
        <v>70.600000000000023</v>
      </c>
      <c r="O179" s="78"/>
      <c r="P179" s="78"/>
      <c r="Q179" s="78" t="str">
        <f t="shared" si="10"/>
        <v/>
      </c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</row>
    <row r="180" spans="1:32" ht="24.95" customHeight="1" x14ac:dyDescent="0.25">
      <c r="A180" s="77">
        <f t="shared" si="11"/>
        <v>177</v>
      </c>
      <c r="B180" s="78" t="s">
        <v>895</v>
      </c>
      <c r="C180" s="78" t="str">
        <f>'LIST OF LINES'!$B$73</f>
        <v>200-40-SS-DW-28</v>
      </c>
      <c r="D180" s="78" t="s">
        <v>1312</v>
      </c>
      <c r="E180" s="78" t="s">
        <v>1339</v>
      </c>
      <c r="F180" s="78" t="s">
        <v>1171</v>
      </c>
      <c r="G180" s="78" t="s">
        <v>1106</v>
      </c>
      <c r="H180" s="78" t="s">
        <v>1142</v>
      </c>
      <c r="I180" s="78" t="s">
        <v>481</v>
      </c>
      <c r="J180" s="78"/>
      <c r="K180" s="78">
        <f t="shared" si="8"/>
        <v>0</v>
      </c>
      <c r="L180" s="78"/>
      <c r="M180" s="78"/>
      <c r="N180" s="78">
        <f t="shared" si="9"/>
        <v>69.56</v>
      </c>
      <c r="O180" s="78"/>
      <c r="P180" s="78"/>
      <c r="Q180" s="78" t="str">
        <f t="shared" si="10"/>
        <v/>
      </c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</row>
    <row r="181" spans="1:32" ht="24.95" customHeight="1" x14ac:dyDescent="0.25">
      <c r="A181" s="77">
        <f t="shared" si="11"/>
        <v>178</v>
      </c>
      <c r="B181" s="78" t="s">
        <v>895</v>
      </c>
      <c r="C181" s="78" t="str">
        <f>'LIST OF LINES'!$B$73</f>
        <v>200-40-SS-DW-28</v>
      </c>
      <c r="D181" s="78" t="s">
        <v>1314</v>
      </c>
      <c r="E181" s="78" t="s">
        <v>1340</v>
      </c>
      <c r="F181" s="78" t="s">
        <v>1171</v>
      </c>
      <c r="G181" s="78" t="s">
        <v>1106</v>
      </c>
      <c r="H181" s="78" t="s">
        <v>1142</v>
      </c>
      <c r="I181" s="78" t="s">
        <v>481</v>
      </c>
      <c r="J181" s="78"/>
      <c r="K181" s="78">
        <f t="shared" si="8"/>
        <v>0</v>
      </c>
      <c r="L181" s="78"/>
      <c r="M181" s="78"/>
      <c r="N181" s="78">
        <f t="shared" si="9"/>
        <v>69.56</v>
      </c>
      <c r="O181" s="78"/>
      <c r="P181" s="78"/>
      <c r="Q181" s="78" t="str">
        <f t="shared" si="10"/>
        <v/>
      </c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</row>
    <row r="182" spans="1:32" ht="24.95" customHeight="1" x14ac:dyDescent="0.25">
      <c r="A182" s="77">
        <f t="shared" si="11"/>
        <v>179</v>
      </c>
      <c r="B182" s="78" t="s">
        <v>895</v>
      </c>
      <c r="C182" s="78" t="str">
        <f>'LIST OF LINES'!$B$73</f>
        <v>200-40-SS-DW-28</v>
      </c>
      <c r="D182" s="78" t="s">
        <v>1316</v>
      </c>
      <c r="E182" s="78" t="s">
        <v>1317</v>
      </c>
      <c r="F182" s="78" t="s">
        <v>1100</v>
      </c>
      <c r="G182" s="78" t="s">
        <v>1106</v>
      </c>
      <c r="H182" s="78" t="s">
        <v>1102</v>
      </c>
      <c r="I182" s="78" t="s">
        <v>481</v>
      </c>
      <c r="J182" s="78"/>
      <c r="K182" s="78">
        <f t="shared" si="8"/>
        <v>0</v>
      </c>
      <c r="L182" s="78"/>
      <c r="M182" s="78"/>
      <c r="N182" s="78">
        <f t="shared" si="9"/>
        <v>69.56</v>
      </c>
      <c r="O182" s="78"/>
      <c r="P182" s="78"/>
      <c r="Q182" s="78" t="str">
        <f t="shared" si="10"/>
        <v/>
      </c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</row>
    <row r="183" spans="1:32" ht="24.95" customHeight="1" x14ac:dyDescent="0.25">
      <c r="A183" s="77">
        <f t="shared" si="11"/>
        <v>180</v>
      </c>
      <c r="B183" s="78" t="s">
        <v>895</v>
      </c>
      <c r="C183" s="78" t="str">
        <f>'LIST OF LINES'!$B$73</f>
        <v>200-40-SS-DW-28</v>
      </c>
      <c r="D183" s="78" t="s">
        <v>1318</v>
      </c>
      <c r="E183" s="78" t="s">
        <v>1319</v>
      </c>
      <c r="F183" s="78" t="s">
        <v>1100</v>
      </c>
      <c r="G183" s="78" t="s">
        <v>1106</v>
      </c>
      <c r="H183" s="78" t="s">
        <v>1102</v>
      </c>
      <c r="I183" s="78" t="s">
        <v>481</v>
      </c>
      <c r="J183" s="78"/>
      <c r="K183" s="78">
        <f t="shared" si="8"/>
        <v>0</v>
      </c>
      <c r="L183" s="78"/>
      <c r="M183" s="78"/>
      <c r="N183" s="78">
        <f t="shared" si="9"/>
        <v>69.56</v>
      </c>
      <c r="O183" s="78"/>
      <c r="P183" s="78"/>
      <c r="Q183" s="78" t="str">
        <f t="shared" si="10"/>
        <v/>
      </c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</row>
    <row r="184" spans="1:32" ht="24.95" customHeight="1" x14ac:dyDescent="0.25">
      <c r="A184" s="77">
        <f t="shared" si="11"/>
        <v>181</v>
      </c>
      <c r="B184" s="78" t="s">
        <v>895</v>
      </c>
      <c r="C184" s="78" t="str">
        <f>'LIST OF LINES'!$B$74</f>
        <v>50-40-SS-DW-29</v>
      </c>
      <c r="D184" s="78" t="s">
        <v>944</v>
      </c>
      <c r="E184" s="78" t="s">
        <v>924</v>
      </c>
      <c r="F184" s="78" t="s">
        <v>1100</v>
      </c>
      <c r="G184" s="78" t="s">
        <v>1101</v>
      </c>
      <c r="H184" s="78" t="s">
        <v>1102</v>
      </c>
      <c r="I184" s="78" t="s">
        <v>481</v>
      </c>
      <c r="J184" s="78"/>
      <c r="K184" s="78">
        <f t="shared" si="8"/>
        <v>0</v>
      </c>
      <c r="L184" s="78"/>
      <c r="M184" s="78"/>
      <c r="N184" s="78">
        <f t="shared" si="9"/>
        <v>69.56</v>
      </c>
      <c r="O184" s="78"/>
      <c r="P184" s="78"/>
      <c r="Q184" s="78" t="str">
        <f t="shared" si="10"/>
        <v/>
      </c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</row>
    <row r="185" spans="1:32" ht="24.95" customHeight="1" x14ac:dyDescent="0.25">
      <c r="A185" s="77">
        <f t="shared" si="11"/>
        <v>182</v>
      </c>
      <c r="B185" s="78" t="s">
        <v>895</v>
      </c>
      <c r="C185" s="78" t="str">
        <f>'LIST OF LINES'!$B$74</f>
        <v>50-40-SS-DW-29</v>
      </c>
      <c r="D185" s="78" t="s">
        <v>947</v>
      </c>
      <c r="E185" s="78" t="s">
        <v>926</v>
      </c>
      <c r="F185" s="78" t="s">
        <v>1100</v>
      </c>
      <c r="G185" s="78" t="s">
        <v>1101</v>
      </c>
      <c r="H185" s="78" t="s">
        <v>1102</v>
      </c>
      <c r="I185" s="78" t="s">
        <v>481</v>
      </c>
      <c r="J185" s="78"/>
      <c r="K185" s="78">
        <f t="shared" si="8"/>
        <v>0</v>
      </c>
      <c r="L185" s="78"/>
      <c r="M185" s="78"/>
      <c r="N185" s="78">
        <f t="shared" si="9"/>
        <v>69.56</v>
      </c>
      <c r="O185" s="78"/>
      <c r="P185" s="78"/>
      <c r="Q185" s="78" t="str">
        <f t="shared" si="10"/>
        <v/>
      </c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</row>
    <row r="186" spans="1:32" ht="24.95" customHeight="1" x14ac:dyDescent="0.25">
      <c r="A186" s="77">
        <f t="shared" si="11"/>
        <v>183</v>
      </c>
      <c r="B186" s="78" t="s">
        <v>895</v>
      </c>
      <c r="C186" s="78" t="str">
        <f>'LIST OF LINES'!$B$74</f>
        <v>50-40-SS-DW-29</v>
      </c>
      <c r="D186" s="78" t="s">
        <v>1341</v>
      </c>
      <c r="E186" s="78" t="s">
        <v>1342</v>
      </c>
      <c r="F186" s="78" t="s">
        <v>1116</v>
      </c>
      <c r="G186" s="78" t="s">
        <v>1106</v>
      </c>
      <c r="H186" s="78" t="s">
        <v>1343</v>
      </c>
      <c r="I186" s="78" t="s">
        <v>481</v>
      </c>
      <c r="J186" s="78"/>
      <c r="K186" s="78">
        <f t="shared" si="8"/>
        <v>0</v>
      </c>
      <c r="L186" s="78"/>
      <c r="M186" s="78"/>
      <c r="N186" s="78">
        <f t="shared" si="9"/>
        <v>69.56</v>
      </c>
      <c r="O186" s="78"/>
      <c r="P186" s="78"/>
      <c r="Q186" s="78" t="str">
        <f t="shared" si="10"/>
        <v/>
      </c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</row>
    <row r="187" spans="1:32" ht="24.95" customHeight="1" x14ac:dyDescent="0.25">
      <c r="A187" s="77">
        <f t="shared" si="11"/>
        <v>184</v>
      </c>
      <c r="B187" s="78" t="s">
        <v>895</v>
      </c>
      <c r="C187" s="78" t="str">
        <f>'LIST OF LINES'!$B$74</f>
        <v>50-40-SS-DW-29</v>
      </c>
      <c r="D187" s="78" t="s">
        <v>1344</v>
      </c>
      <c r="E187" s="78" t="s">
        <v>1345</v>
      </c>
      <c r="F187" s="78" t="s">
        <v>1116</v>
      </c>
      <c r="G187" s="78" t="s">
        <v>1106</v>
      </c>
      <c r="H187" s="78" t="s">
        <v>1343</v>
      </c>
      <c r="I187" s="78" t="s">
        <v>481</v>
      </c>
      <c r="J187" s="78"/>
      <c r="K187" s="78">
        <f t="shared" si="8"/>
        <v>0</v>
      </c>
      <c r="L187" s="78"/>
      <c r="M187" s="78"/>
      <c r="N187" s="78">
        <f t="shared" si="9"/>
        <v>69.56</v>
      </c>
      <c r="O187" s="78"/>
      <c r="P187" s="78"/>
      <c r="Q187" s="78" t="str">
        <f t="shared" si="10"/>
        <v/>
      </c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</row>
    <row r="188" spans="1:32" ht="24.95" customHeight="1" x14ac:dyDescent="0.25">
      <c r="A188" s="77">
        <f t="shared" si="11"/>
        <v>185</v>
      </c>
      <c r="B188" s="78" t="s">
        <v>895</v>
      </c>
      <c r="C188" s="78" t="str">
        <f>'LIST OF LINES'!$B$74</f>
        <v>50-40-SS-DW-29</v>
      </c>
      <c r="D188" s="78" t="s">
        <v>1346</v>
      </c>
      <c r="E188" s="78" t="s">
        <v>1342</v>
      </c>
      <c r="F188" s="78" t="s">
        <v>1100</v>
      </c>
      <c r="G188" s="78" t="s">
        <v>1106</v>
      </c>
      <c r="H188" s="78" t="s">
        <v>1343</v>
      </c>
      <c r="I188" s="78" t="s">
        <v>481</v>
      </c>
      <c r="J188" s="78"/>
      <c r="K188" s="78">
        <f t="shared" si="8"/>
        <v>0</v>
      </c>
      <c r="L188" s="78"/>
      <c r="M188" s="78"/>
      <c r="N188" s="78">
        <f t="shared" si="9"/>
        <v>69.56</v>
      </c>
      <c r="O188" s="78"/>
      <c r="P188" s="78"/>
      <c r="Q188" s="78" t="str">
        <f t="shared" si="10"/>
        <v/>
      </c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</row>
    <row r="189" spans="1:32" ht="24.95" customHeight="1" x14ac:dyDescent="0.25">
      <c r="A189" s="77">
        <f t="shared" si="11"/>
        <v>186</v>
      </c>
      <c r="B189" s="78" t="s">
        <v>895</v>
      </c>
      <c r="C189" s="78" t="str">
        <f>'LIST OF LINES'!$B$74</f>
        <v>50-40-SS-DW-29</v>
      </c>
      <c r="D189" s="78" t="s">
        <v>1347</v>
      </c>
      <c r="E189" s="78" t="s">
        <v>1345</v>
      </c>
      <c r="F189" s="78" t="s">
        <v>1100</v>
      </c>
      <c r="G189" s="78" t="s">
        <v>1106</v>
      </c>
      <c r="H189" s="78" t="s">
        <v>1343</v>
      </c>
      <c r="I189" s="78" t="s">
        <v>481</v>
      </c>
      <c r="J189" s="78"/>
      <c r="K189" s="78">
        <f t="shared" si="8"/>
        <v>0</v>
      </c>
      <c r="L189" s="78"/>
      <c r="M189" s="78"/>
      <c r="N189" s="78">
        <f t="shared" si="9"/>
        <v>69.56</v>
      </c>
      <c r="O189" s="78"/>
      <c r="P189" s="78"/>
      <c r="Q189" s="78" t="str">
        <f t="shared" si="10"/>
        <v/>
      </c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</row>
    <row r="190" spans="1:32" ht="24.95" customHeight="1" x14ac:dyDescent="0.25">
      <c r="A190" s="77">
        <f t="shared" si="11"/>
        <v>187</v>
      </c>
      <c r="B190" s="78" t="s">
        <v>895</v>
      </c>
      <c r="C190" s="78" t="str">
        <f>'LIST OF LINES'!$B$74</f>
        <v>50-40-SS-DW-29</v>
      </c>
      <c r="D190" s="78" t="s">
        <v>950</v>
      </c>
      <c r="E190" s="78" t="s">
        <v>949</v>
      </c>
      <c r="F190" s="78" t="s">
        <v>1100</v>
      </c>
      <c r="G190" s="78" t="s">
        <v>1101</v>
      </c>
      <c r="H190" s="78" t="s">
        <v>1102</v>
      </c>
      <c r="I190" s="78" t="s">
        <v>481</v>
      </c>
      <c r="J190" s="78"/>
      <c r="K190" s="78">
        <f t="shared" si="8"/>
        <v>0</v>
      </c>
      <c r="L190" s="78"/>
      <c r="M190" s="78"/>
      <c r="N190" s="78">
        <f t="shared" si="9"/>
        <v>69.56</v>
      </c>
      <c r="O190" s="78"/>
      <c r="P190" s="78"/>
      <c r="Q190" s="78" t="str">
        <f t="shared" si="10"/>
        <v/>
      </c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</row>
    <row r="191" spans="1:32" ht="24.95" customHeight="1" x14ac:dyDescent="0.25">
      <c r="A191" s="77">
        <f t="shared" si="11"/>
        <v>188</v>
      </c>
      <c r="B191" s="78" t="s">
        <v>895</v>
      </c>
      <c r="C191" s="78" t="str">
        <f>'LIST OF LINES'!$B$74</f>
        <v>50-40-SS-DW-29</v>
      </c>
      <c r="D191" s="78" t="s">
        <v>953</v>
      </c>
      <c r="E191" s="78" t="s">
        <v>952</v>
      </c>
      <c r="F191" s="78" t="s">
        <v>1100</v>
      </c>
      <c r="G191" s="78" t="s">
        <v>1101</v>
      </c>
      <c r="H191" s="78" t="s">
        <v>1102</v>
      </c>
      <c r="I191" s="78" t="s">
        <v>481</v>
      </c>
      <c r="J191" s="78"/>
      <c r="K191" s="78">
        <f t="shared" si="8"/>
        <v>0</v>
      </c>
      <c r="L191" s="78"/>
      <c r="M191" s="78"/>
      <c r="N191" s="78">
        <f t="shared" si="9"/>
        <v>69.56</v>
      </c>
      <c r="O191" s="78"/>
      <c r="P191" s="78"/>
      <c r="Q191" s="78" t="str">
        <f t="shared" si="10"/>
        <v/>
      </c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</row>
    <row r="192" spans="1:32" ht="24.95" customHeight="1" x14ac:dyDescent="0.25">
      <c r="A192" s="77">
        <f t="shared" si="11"/>
        <v>189</v>
      </c>
      <c r="B192" s="78" t="s">
        <v>895</v>
      </c>
      <c r="C192" s="78" t="str">
        <f>'LIST OF LINES'!B76</f>
        <v>25-40-SS-DW-31</v>
      </c>
      <c r="D192" s="78" t="s">
        <v>1348</v>
      </c>
      <c r="E192" s="78" t="s">
        <v>1349</v>
      </c>
      <c r="F192" s="78" t="s">
        <v>1100</v>
      </c>
      <c r="G192" s="78" t="s">
        <v>1106</v>
      </c>
      <c r="H192" s="78" t="s">
        <v>1142</v>
      </c>
      <c r="I192" s="78" t="s">
        <v>481</v>
      </c>
      <c r="J192" s="78"/>
      <c r="K192" s="78">
        <f t="shared" si="8"/>
        <v>0</v>
      </c>
      <c r="L192" s="78"/>
      <c r="M192" s="78"/>
      <c r="N192" s="78">
        <f t="shared" si="9"/>
        <v>30</v>
      </c>
      <c r="O192" s="78"/>
      <c r="P192" s="78"/>
      <c r="Q192" s="78">
        <f t="shared" si="10"/>
        <v>0.50601444349957181</v>
      </c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</row>
    <row r="193" spans="1:32" ht="24.95" customHeight="1" x14ac:dyDescent="0.25">
      <c r="A193" s="77">
        <f t="shared" si="11"/>
        <v>190</v>
      </c>
      <c r="B193" s="79" t="s">
        <v>895</v>
      </c>
      <c r="C193" s="79" t="str">
        <f>LIST_OF_EQUIPMENT!B3</f>
        <v>LTFV</v>
      </c>
      <c r="D193" s="78" t="s">
        <v>1053</v>
      </c>
      <c r="E193" s="78" t="s">
        <v>1350</v>
      </c>
      <c r="F193" s="78" t="s">
        <v>1100</v>
      </c>
      <c r="G193" s="78" t="s">
        <v>1101</v>
      </c>
      <c r="H193" s="78" t="s">
        <v>1102</v>
      </c>
      <c r="I193" s="78" t="s">
        <v>515</v>
      </c>
      <c r="J193" s="78"/>
      <c r="K193" s="78">
        <f t="shared" si="8"/>
        <v>6.7969461000000009E-2</v>
      </c>
      <c r="L193" s="78"/>
      <c r="M193" s="78"/>
      <c r="N193" s="78">
        <f t="shared" si="9"/>
        <v>38.388778286519027</v>
      </c>
      <c r="O193" s="78"/>
      <c r="P193" s="78"/>
      <c r="Q193" s="78" t="str">
        <f t="shared" si="10"/>
        <v/>
      </c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</row>
    <row r="194" spans="1:32" ht="24.95" customHeight="1" x14ac:dyDescent="0.25">
      <c r="A194" s="77">
        <f t="shared" si="11"/>
        <v>191</v>
      </c>
      <c r="B194" s="79" t="s">
        <v>716</v>
      </c>
      <c r="C194" s="78" t="str">
        <f>'LIST OF LINES'!B88</f>
        <v>XXX-40-SS-ST-10</v>
      </c>
      <c r="D194" s="78" t="s">
        <v>967</v>
      </c>
      <c r="E194" s="78" t="s">
        <v>1351</v>
      </c>
      <c r="F194" s="78" t="s">
        <v>1100</v>
      </c>
      <c r="G194" s="78" t="s">
        <v>1101</v>
      </c>
      <c r="H194" s="78" t="s">
        <v>1102</v>
      </c>
      <c r="I194" s="78" t="s">
        <v>515</v>
      </c>
      <c r="J194" s="78"/>
      <c r="K194" s="78">
        <f t="shared" si="8"/>
        <v>0</v>
      </c>
      <c r="L194" s="78"/>
      <c r="M194" s="78"/>
      <c r="N194" s="78">
        <f t="shared" si="9"/>
        <v>0</v>
      </c>
      <c r="O194" s="78"/>
      <c r="P194" s="78"/>
      <c r="Q194" s="78" t="str">
        <f t="shared" si="10"/>
        <v/>
      </c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</row>
    <row r="195" spans="1:32" ht="24.95" customHeight="1" x14ac:dyDescent="0.25">
      <c r="A195" s="77">
        <f t="shared" si="11"/>
        <v>192</v>
      </c>
      <c r="B195" s="79" t="s">
        <v>716</v>
      </c>
      <c r="C195" s="78" t="str">
        <f>'LIST OF LINES'!B89</f>
        <v>XXX-40-SS-ST-11</v>
      </c>
      <c r="D195" s="78" t="s">
        <v>972</v>
      </c>
      <c r="E195" s="78" t="s">
        <v>1352</v>
      </c>
      <c r="F195" s="78" t="s">
        <v>1100</v>
      </c>
      <c r="G195" s="78" t="s">
        <v>1101</v>
      </c>
      <c r="H195" s="78" t="s">
        <v>1102</v>
      </c>
      <c r="I195" s="78" t="s">
        <v>515</v>
      </c>
      <c r="J195" s="78"/>
      <c r="K195" s="78">
        <f t="shared" si="8"/>
        <v>0</v>
      </c>
      <c r="L195" s="78"/>
      <c r="M195" s="78"/>
      <c r="N195" s="78">
        <f t="shared" si="9"/>
        <v>0</v>
      </c>
      <c r="O195" s="78"/>
      <c r="P195" s="78"/>
      <c r="Q195" s="78" t="str">
        <f t="shared" si="10"/>
        <v/>
      </c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</row>
    <row r="196" spans="1:32" ht="24.95" customHeight="1" x14ac:dyDescent="0.25">
      <c r="A196" s="77">
        <f t="shared" si="11"/>
        <v>193</v>
      </c>
      <c r="B196" s="79" t="s">
        <v>716</v>
      </c>
      <c r="C196" s="78" t="str">
        <f>'LIST OF LINES'!B90</f>
        <v>XXX-40-SS-ST-12</v>
      </c>
      <c r="D196" s="78" t="s">
        <v>977</v>
      </c>
      <c r="E196" s="78" t="s">
        <v>1353</v>
      </c>
      <c r="F196" s="78" t="s">
        <v>1100</v>
      </c>
      <c r="G196" s="78" t="s">
        <v>1101</v>
      </c>
      <c r="H196" s="78" t="s">
        <v>1102</v>
      </c>
      <c r="I196" s="78" t="s">
        <v>515</v>
      </c>
      <c r="J196" s="78"/>
      <c r="K196" s="78">
        <f t="shared" ref="K196:K248" si="12">IFERROR(INDEX(Pressures_bar,MATCH(INDEX(LOL_LineTags,MATCH(C196,LOL_LineNumbers,0)),LineTags,0)),IFERROR(INDEX(LOE_Pressures,MATCH(C196,LOE_EquipNames,0))/1000,INDEX(LOE_Pressures,MATCH(C196,LOE_EquipTags,0))/1000))</f>
        <v>0</v>
      </c>
      <c r="L196" s="78"/>
      <c r="M196" s="78"/>
      <c r="N196" s="78">
        <f t="shared" ref="N196:N248" si="13">IFERROR(INDEX(Temperatures,MATCH(INDEX(LOL_LineTags,MATCH(C196,LOL_LineNumbers,0)),LineTags,0)),IFERROR(INDEX(LOE_Temperatures,MATCH(C196,LOE_EquipNames,0)),INDEX(LOE_Temperatures,MATCH(C196,LOE_EquipTags,0))))</f>
        <v>0</v>
      </c>
      <c r="O196" s="78"/>
      <c r="P196" s="78"/>
      <c r="Q196" s="78" t="str">
        <f t="shared" ref="Q196:Q248" si="14">IFERROR(INDEX(FlowRates_kghr,MATCH(INDEX(LOL_LineTags,MATCH(C196,LOL_LineNumbers,0)),LineTags,0))/INDEX(Densities,MATCH(INDEX(LOL_LineTags,MATCH(C196,LOL_LineNumbers,0)),LineTags,0)),"")</f>
        <v/>
      </c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</row>
    <row r="197" spans="1:32" ht="24.95" customHeight="1" x14ac:dyDescent="0.25">
      <c r="A197" s="77">
        <f t="shared" ref="A197:A248" si="15">A196+1</f>
        <v>194</v>
      </c>
      <c r="B197" s="79" t="s">
        <v>716</v>
      </c>
      <c r="C197" s="78" t="str">
        <f>LIST_OF_EQUIPMENT!B5</f>
        <v>MED - E1</v>
      </c>
      <c r="D197" s="78" t="s">
        <v>982</v>
      </c>
      <c r="E197" s="78" t="s">
        <v>1354</v>
      </c>
      <c r="F197" s="78" t="s">
        <v>1100</v>
      </c>
      <c r="G197" s="78" t="s">
        <v>1101</v>
      </c>
      <c r="H197" s="78" t="s">
        <v>1102</v>
      </c>
      <c r="I197" s="78" t="s">
        <v>515</v>
      </c>
      <c r="J197" s="78"/>
      <c r="K197" s="78">
        <f t="shared" si="12"/>
        <v>0.32045999999999997</v>
      </c>
      <c r="L197" s="78"/>
      <c r="M197" s="78"/>
      <c r="N197" s="78">
        <f t="shared" si="13"/>
        <v>70.599999999999994</v>
      </c>
      <c r="O197" s="78"/>
      <c r="P197" s="78"/>
      <c r="Q197" s="78" t="str">
        <f t="shared" si="14"/>
        <v/>
      </c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</row>
    <row r="198" spans="1:32" ht="24.95" customHeight="1" x14ac:dyDescent="0.25">
      <c r="A198" s="77">
        <f t="shared" si="15"/>
        <v>195</v>
      </c>
      <c r="B198" s="79" t="s">
        <v>716</v>
      </c>
      <c r="C198" s="78" t="str">
        <f>LIST_OF_EQUIPMENT!B5</f>
        <v>MED - E1</v>
      </c>
      <c r="D198" s="78" t="s">
        <v>987</v>
      </c>
      <c r="E198" s="78" t="s">
        <v>1355</v>
      </c>
      <c r="F198" s="78" t="s">
        <v>1100</v>
      </c>
      <c r="G198" s="78" t="s">
        <v>1101</v>
      </c>
      <c r="H198" s="78" t="s">
        <v>1102</v>
      </c>
      <c r="I198" s="78" t="s">
        <v>515</v>
      </c>
      <c r="J198" s="78"/>
      <c r="K198" s="78">
        <f t="shared" si="12"/>
        <v>0.32045999999999997</v>
      </c>
      <c r="L198" s="78"/>
      <c r="M198" s="78"/>
      <c r="N198" s="78">
        <f t="shared" si="13"/>
        <v>70.599999999999994</v>
      </c>
      <c r="O198" s="78"/>
      <c r="P198" s="78"/>
      <c r="Q198" s="78" t="str">
        <f t="shared" si="14"/>
        <v/>
      </c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</row>
    <row r="199" spans="1:32" ht="24.95" customHeight="1" x14ac:dyDescent="0.25">
      <c r="A199" s="77">
        <f t="shared" si="15"/>
        <v>196</v>
      </c>
      <c r="B199" s="79" t="s">
        <v>716</v>
      </c>
      <c r="C199" s="78" t="str">
        <f>LIST_OF_EQUIPMENT!B6</f>
        <v>MED - E2</v>
      </c>
      <c r="D199" s="78" t="s">
        <v>995</v>
      </c>
      <c r="E199" s="78" t="s">
        <v>1356</v>
      </c>
      <c r="F199" s="78" t="s">
        <v>1100</v>
      </c>
      <c r="G199" s="78" t="s">
        <v>1101</v>
      </c>
      <c r="H199" s="78" t="s">
        <v>1102</v>
      </c>
      <c r="I199" s="78" t="s">
        <v>515</v>
      </c>
      <c r="J199" s="78"/>
      <c r="K199" s="78">
        <f t="shared" si="12"/>
        <v>0.25939999999999996</v>
      </c>
      <c r="L199" s="78"/>
      <c r="M199" s="78"/>
      <c r="N199" s="78">
        <f t="shared" si="13"/>
        <v>66.55</v>
      </c>
      <c r="O199" s="78"/>
      <c r="P199" s="78"/>
      <c r="Q199" s="78" t="str">
        <f t="shared" si="14"/>
        <v/>
      </c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</row>
    <row r="200" spans="1:32" ht="24.95" customHeight="1" x14ac:dyDescent="0.25">
      <c r="A200" s="77">
        <f t="shared" si="15"/>
        <v>197</v>
      </c>
      <c r="B200" s="79" t="s">
        <v>716</v>
      </c>
      <c r="C200" s="78" t="str">
        <f>LIST_OF_EQUIPMENT!B7</f>
        <v>MED - E3</v>
      </c>
      <c r="D200" s="78" t="s">
        <v>1002</v>
      </c>
      <c r="E200" s="78" t="s">
        <v>1357</v>
      </c>
      <c r="F200" s="78" t="s">
        <v>1100</v>
      </c>
      <c r="G200" s="78" t="s">
        <v>1101</v>
      </c>
      <c r="H200" s="78" t="s">
        <v>1102</v>
      </c>
      <c r="I200" s="78" t="s">
        <v>515</v>
      </c>
      <c r="J200" s="78"/>
      <c r="K200" s="78">
        <f t="shared" si="12"/>
        <v>0.21959999999999999</v>
      </c>
      <c r="L200" s="78"/>
      <c r="M200" s="78"/>
      <c r="N200" s="78">
        <f t="shared" si="13"/>
        <v>62.81</v>
      </c>
      <c r="O200" s="78"/>
      <c r="P200" s="78"/>
      <c r="Q200" s="78" t="str">
        <f t="shared" si="14"/>
        <v/>
      </c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</row>
    <row r="201" spans="1:32" ht="24.95" customHeight="1" x14ac:dyDescent="0.25">
      <c r="A201" s="77">
        <f t="shared" si="15"/>
        <v>198</v>
      </c>
      <c r="B201" s="79" t="s">
        <v>716</v>
      </c>
      <c r="C201" s="78" t="str">
        <f>LIST_OF_EQUIPMENT!B8</f>
        <v>MED - E4</v>
      </c>
      <c r="D201" s="78" t="s">
        <v>1009</v>
      </c>
      <c r="E201" s="78" t="s">
        <v>1358</v>
      </c>
      <c r="F201" s="78" t="s">
        <v>1100</v>
      </c>
      <c r="G201" s="78" t="s">
        <v>1101</v>
      </c>
      <c r="H201" s="78" t="s">
        <v>1102</v>
      </c>
      <c r="I201" s="78" t="s">
        <v>515</v>
      </c>
      <c r="J201" s="78"/>
      <c r="K201" s="78">
        <f t="shared" si="12"/>
        <v>0.188</v>
      </c>
      <c r="L201" s="78"/>
      <c r="M201" s="78"/>
      <c r="N201" s="78">
        <f t="shared" si="13"/>
        <v>59.4</v>
      </c>
      <c r="O201" s="78"/>
      <c r="P201" s="78"/>
      <c r="Q201" s="78" t="str">
        <f t="shared" si="14"/>
        <v/>
      </c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</row>
    <row r="202" spans="1:32" ht="24.95" customHeight="1" x14ac:dyDescent="0.25">
      <c r="A202" s="77">
        <f t="shared" si="15"/>
        <v>199</v>
      </c>
      <c r="B202" s="79" t="s">
        <v>716</v>
      </c>
      <c r="C202" s="78" t="str">
        <f>LIST_OF_EQUIPMENT!B9</f>
        <v>MED - E5</v>
      </c>
      <c r="D202" s="78" t="s">
        <v>1016</v>
      </c>
      <c r="E202" s="78" t="s">
        <v>1359</v>
      </c>
      <c r="F202" s="78" t="s">
        <v>1100</v>
      </c>
      <c r="G202" s="78" t="s">
        <v>1101</v>
      </c>
      <c r="H202" s="78" t="s">
        <v>1102</v>
      </c>
      <c r="I202" s="78" t="s">
        <v>515</v>
      </c>
      <c r="J202" s="78"/>
      <c r="K202" s="78">
        <f t="shared" si="12"/>
        <v>0.1618</v>
      </c>
      <c r="L202" s="78"/>
      <c r="M202" s="78"/>
      <c r="N202" s="78">
        <f t="shared" si="13"/>
        <v>56.2</v>
      </c>
      <c r="O202" s="78"/>
      <c r="P202" s="78"/>
      <c r="Q202" s="78" t="str">
        <f t="shared" si="14"/>
        <v/>
      </c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</row>
    <row r="203" spans="1:32" ht="24.95" customHeight="1" x14ac:dyDescent="0.25">
      <c r="A203" s="77">
        <f t="shared" si="15"/>
        <v>200</v>
      </c>
      <c r="B203" s="79" t="s">
        <v>716</v>
      </c>
      <c r="C203" s="78" t="str">
        <f>LIST_OF_EQUIPMENT!B10</f>
        <v>MED - E6</v>
      </c>
      <c r="D203" s="78" t="s">
        <v>1023</v>
      </c>
      <c r="E203" s="78" t="s">
        <v>1360</v>
      </c>
      <c r="F203" s="78" t="s">
        <v>1100</v>
      </c>
      <c r="G203" s="78" t="s">
        <v>1101</v>
      </c>
      <c r="H203" s="78" t="s">
        <v>1102</v>
      </c>
      <c r="I203" s="78" t="s">
        <v>515</v>
      </c>
      <c r="J203" s="78"/>
      <c r="K203" s="78">
        <f t="shared" si="12"/>
        <v>0.13950000000000001</v>
      </c>
      <c r="L203" s="78"/>
      <c r="M203" s="78"/>
      <c r="N203" s="78">
        <f t="shared" si="13"/>
        <v>53.1</v>
      </c>
      <c r="O203" s="78"/>
      <c r="P203" s="78"/>
      <c r="Q203" s="78" t="str">
        <f t="shared" si="14"/>
        <v/>
      </c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</row>
    <row r="204" spans="1:32" ht="24.95" customHeight="1" x14ac:dyDescent="0.25">
      <c r="A204" s="77">
        <f t="shared" si="15"/>
        <v>201</v>
      </c>
      <c r="B204" s="79" t="s">
        <v>716</v>
      </c>
      <c r="C204" s="78" t="str">
        <f>LIST_OF_EQUIPMENT!B11</f>
        <v>MED - E7</v>
      </c>
      <c r="D204" s="78" t="s">
        <v>1030</v>
      </c>
      <c r="E204" s="78" t="s">
        <v>1361</v>
      </c>
      <c r="F204" s="78" t="s">
        <v>1100</v>
      </c>
      <c r="G204" s="78" t="s">
        <v>1101</v>
      </c>
      <c r="H204" s="78" t="s">
        <v>1102</v>
      </c>
      <c r="I204" s="78" t="s">
        <v>515</v>
      </c>
      <c r="J204" s="78"/>
      <c r="K204" s="78">
        <f t="shared" si="12"/>
        <v>0.1198</v>
      </c>
      <c r="L204" s="78"/>
      <c r="M204" s="78"/>
      <c r="N204" s="78">
        <f t="shared" si="13"/>
        <v>50</v>
      </c>
      <c r="O204" s="78"/>
      <c r="P204" s="78"/>
      <c r="Q204" s="78" t="str">
        <f t="shared" si="14"/>
        <v/>
      </c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</row>
    <row r="205" spans="1:32" ht="24.95" customHeight="1" x14ac:dyDescent="0.25">
      <c r="A205" s="77">
        <f t="shared" si="15"/>
        <v>202</v>
      </c>
      <c r="B205" s="79" t="s">
        <v>716</v>
      </c>
      <c r="C205" s="78" t="str">
        <f>LIST_OF_EQUIPMENT!B12</f>
        <v>MED - E8</v>
      </c>
      <c r="D205" s="78" t="s">
        <v>1037</v>
      </c>
      <c r="E205" s="78" t="s">
        <v>1362</v>
      </c>
      <c r="F205" s="78" t="s">
        <v>1100</v>
      </c>
      <c r="G205" s="78" t="s">
        <v>1101</v>
      </c>
      <c r="H205" s="78" t="s">
        <v>1102</v>
      </c>
      <c r="I205" s="78" t="s">
        <v>515</v>
      </c>
      <c r="J205" s="78"/>
      <c r="K205" s="78">
        <f t="shared" si="12"/>
        <v>0.1017</v>
      </c>
      <c r="L205" s="78"/>
      <c r="M205" s="78"/>
      <c r="N205" s="78">
        <f t="shared" si="13"/>
        <v>46.72</v>
      </c>
      <c r="O205" s="78"/>
      <c r="P205" s="78"/>
      <c r="Q205" s="78" t="str">
        <f t="shared" si="14"/>
        <v/>
      </c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</row>
    <row r="206" spans="1:32" ht="24.95" customHeight="1" x14ac:dyDescent="0.25">
      <c r="A206" s="77">
        <f t="shared" si="15"/>
        <v>203</v>
      </c>
      <c r="B206" s="79" t="s">
        <v>716</v>
      </c>
      <c r="C206" s="78" t="str">
        <f>LIST_OF_EQUIPMENT!B13</f>
        <v>MED - E9</v>
      </c>
      <c r="D206" s="78" t="s">
        <v>1044</v>
      </c>
      <c r="E206" s="78" t="s">
        <v>1363</v>
      </c>
      <c r="F206" s="78" t="s">
        <v>1100</v>
      </c>
      <c r="G206" s="78" t="s">
        <v>1101</v>
      </c>
      <c r="H206" s="78" t="s">
        <v>1102</v>
      </c>
      <c r="I206" s="78" t="s">
        <v>515</v>
      </c>
      <c r="J206" s="78"/>
      <c r="K206" s="78">
        <f t="shared" si="12"/>
        <v>8.4599999999999995E-2</v>
      </c>
      <c r="L206" s="78"/>
      <c r="M206" s="78"/>
      <c r="N206" s="78">
        <f t="shared" si="13"/>
        <v>43.14</v>
      </c>
      <c r="O206" s="78"/>
      <c r="P206" s="78"/>
      <c r="Q206" s="78" t="str">
        <f t="shared" si="14"/>
        <v/>
      </c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</row>
    <row r="207" spans="1:32" ht="24.95" customHeight="1" x14ac:dyDescent="0.25">
      <c r="A207" s="77">
        <f t="shared" si="15"/>
        <v>204</v>
      </c>
      <c r="B207" s="79" t="s">
        <v>716</v>
      </c>
      <c r="C207" s="78" t="str">
        <f>LIST_OF_EQUIPMENT!B13</f>
        <v>MED - E9</v>
      </c>
      <c r="D207" s="78" t="s">
        <v>1049</v>
      </c>
      <c r="E207" s="78" t="s">
        <v>1364</v>
      </c>
      <c r="F207" s="78" t="s">
        <v>1100</v>
      </c>
      <c r="G207" s="78" t="s">
        <v>1101</v>
      </c>
      <c r="H207" s="78" t="s">
        <v>1102</v>
      </c>
      <c r="I207" s="78" t="s">
        <v>515</v>
      </c>
      <c r="J207" s="78"/>
      <c r="K207" s="78">
        <f t="shared" si="12"/>
        <v>8.4599999999999995E-2</v>
      </c>
      <c r="L207" s="78"/>
      <c r="M207" s="78"/>
      <c r="N207" s="78">
        <f t="shared" si="13"/>
        <v>43.14</v>
      </c>
      <c r="O207" s="78"/>
      <c r="P207" s="78"/>
      <c r="Q207" s="78" t="str">
        <f t="shared" si="14"/>
        <v/>
      </c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</row>
    <row r="208" spans="1:32" ht="24.95" customHeight="1" x14ac:dyDescent="0.25">
      <c r="A208" s="77">
        <f t="shared" si="15"/>
        <v>205</v>
      </c>
      <c r="B208" s="79" t="s">
        <v>895</v>
      </c>
      <c r="C208" s="79" t="str">
        <f>LIST_OF_EQUIPMENT!B4</f>
        <v>HTFV</v>
      </c>
      <c r="D208" s="78" t="s">
        <v>1058</v>
      </c>
      <c r="E208" s="78" t="s">
        <v>1365</v>
      </c>
      <c r="F208" s="78" t="s">
        <v>1100</v>
      </c>
      <c r="G208" s="78" t="s">
        <v>1101</v>
      </c>
      <c r="H208" s="78" t="s">
        <v>1102</v>
      </c>
      <c r="I208" s="78" t="s">
        <v>515</v>
      </c>
      <c r="J208" s="78"/>
      <c r="K208" s="78">
        <f t="shared" si="12"/>
        <v>0.32045592342197199</v>
      </c>
      <c r="L208" s="78"/>
      <c r="M208" s="78"/>
      <c r="N208" s="78">
        <f t="shared" si="13"/>
        <v>70.600000000000023</v>
      </c>
      <c r="O208" s="78"/>
      <c r="P208" s="78"/>
      <c r="Q208" s="78" t="str">
        <f t="shared" si="14"/>
        <v/>
      </c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</row>
    <row r="209" spans="1:32" ht="24.95" customHeight="1" x14ac:dyDescent="0.25">
      <c r="A209" s="77">
        <f t="shared" si="15"/>
        <v>206</v>
      </c>
      <c r="B209" s="79" t="s">
        <v>716</v>
      </c>
      <c r="C209" s="78" t="str">
        <f>'LIST OF LINES'!B87</f>
        <v>ID1100-THK-SS-ST-09</v>
      </c>
      <c r="D209" s="78" t="s">
        <v>962</v>
      </c>
      <c r="E209" s="78" t="s">
        <v>1366</v>
      </c>
      <c r="F209" s="78" t="s">
        <v>1100</v>
      </c>
      <c r="G209" s="78" t="s">
        <v>1101</v>
      </c>
      <c r="H209" s="78" t="s">
        <v>1102</v>
      </c>
      <c r="I209" s="78" t="s">
        <v>515</v>
      </c>
      <c r="J209" s="78"/>
      <c r="K209" s="78">
        <f t="shared" si="12"/>
        <v>0</v>
      </c>
      <c r="L209" s="78"/>
      <c r="M209" s="78"/>
      <c r="N209" s="78">
        <f t="shared" si="13"/>
        <v>39</v>
      </c>
      <c r="O209" s="78"/>
      <c r="P209" s="78"/>
      <c r="Q209" s="78">
        <f t="shared" si="14"/>
        <v>140279.54256670902</v>
      </c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</row>
    <row r="210" spans="1:32" ht="24.95" customHeight="1" x14ac:dyDescent="0.25">
      <c r="A210" s="77">
        <f t="shared" si="15"/>
        <v>207</v>
      </c>
      <c r="B210" s="79" t="s">
        <v>716</v>
      </c>
      <c r="C210" s="79" t="str">
        <f>'LIST OF LINES'!B94</f>
        <v>40-40-SS-NCG-01</v>
      </c>
      <c r="D210" s="78" t="s">
        <v>1367</v>
      </c>
      <c r="E210" s="78" t="s">
        <v>1368</v>
      </c>
      <c r="F210" s="78" t="s">
        <v>1100</v>
      </c>
      <c r="G210" s="78" t="s">
        <v>1106</v>
      </c>
      <c r="H210" s="103" t="s">
        <v>1369</v>
      </c>
      <c r="I210" s="78" t="s">
        <v>80</v>
      </c>
      <c r="J210" s="78"/>
      <c r="K210" s="78">
        <f t="shared" si="12"/>
        <v>0</v>
      </c>
      <c r="L210" s="78"/>
      <c r="M210" s="78"/>
      <c r="N210" s="78">
        <f t="shared" si="13"/>
        <v>36.5</v>
      </c>
      <c r="O210" s="78"/>
      <c r="P210" s="78"/>
      <c r="Q210" s="78">
        <f t="shared" si="14"/>
        <v>1.3819102353585115</v>
      </c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</row>
    <row r="211" spans="1:32" ht="24.95" customHeight="1" x14ac:dyDescent="0.25">
      <c r="A211" s="77">
        <f t="shared" si="15"/>
        <v>208</v>
      </c>
      <c r="B211" s="79" t="s">
        <v>716</v>
      </c>
      <c r="C211" s="79" t="str">
        <f>'LIST OF LINES'!B95</f>
        <v>40-40-SS-NCG-02</v>
      </c>
      <c r="D211" s="78" t="s">
        <v>1370</v>
      </c>
      <c r="E211" s="78" t="s">
        <v>1371</v>
      </c>
      <c r="F211" s="78" t="s">
        <v>1100</v>
      </c>
      <c r="G211" s="78" t="s">
        <v>1106</v>
      </c>
      <c r="H211" s="103" t="s">
        <v>1369</v>
      </c>
      <c r="I211" s="78" t="s">
        <v>80</v>
      </c>
      <c r="J211" s="78"/>
      <c r="K211" s="78">
        <f t="shared" si="12"/>
        <v>0</v>
      </c>
      <c r="L211" s="78"/>
      <c r="M211" s="78"/>
      <c r="N211" s="78">
        <f t="shared" si="13"/>
        <v>36.5</v>
      </c>
      <c r="O211" s="78"/>
      <c r="P211" s="78"/>
      <c r="Q211" s="78">
        <f t="shared" si="14"/>
        <v>3.557464381581664</v>
      </c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</row>
    <row r="212" spans="1:32" ht="24.95" customHeight="1" x14ac:dyDescent="0.25">
      <c r="A212" s="77">
        <f t="shared" si="15"/>
        <v>209</v>
      </c>
      <c r="B212" s="79" t="s">
        <v>716</v>
      </c>
      <c r="C212" s="79" t="str">
        <f>'LIST OF LINES'!B96</f>
        <v>40-40-SS-NCG-03</v>
      </c>
      <c r="D212" s="78" t="s">
        <v>1372</v>
      </c>
      <c r="E212" s="78" t="s">
        <v>1373</v>
      </c>
      <c r="F212" s="78" t="s">
        <v>1100</v>
      </c>
      <c r="G212" s="78" t="s">
        <v>1106</v>
      </c>
      <c r="H212" s="103" t="s">
        <v>1369</v>
      </c>
      <c r="I212" s="78" t="s">
        <v>80</v>
      </c>
      <c r="J212" s="78"/>
      <c r="K212" s="78">
        <f t="shared" si="12"/>
        <v>0</v>
      </c>
      <c r="L212" s="78"/>
      <c r="M212" s="78"/>
      <c r="N212" s="78">
        <f t="shared" si="13"/>
        <v>36.5</v>
      </c>
      <c r="O212" s="78"/>
      <c r="P212" s="78"/>
      <c r="Q212" s="78">
        <f t="shared" si="14"/>
        <v>6.7509389671361522</v>
      </c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</row>
    <row r="213" spans="1:32" ht="24.95" customHeight="1" x14ac:dyDescent="0.25">
      <c r="A213" s="77">
        <f t="shared" si="15"/>
        <v>210</v>
      </c>
      <c r="B213" s="79" t="s">
        <v>716</v>
      </c>
      <c r="C213" s="79" t="str">
        <f>'LIST OF LINES'!B97</f>
        <v>50-40-SS-NCG-04</v>
      </c>
      <c r="D213" s="78" t="s">
        <v>1374</v>
      </c>
      <c r="E213" s="78" t="s">
        <v>1375</v>
      </c>
      <c r="F213" s="78" t="s">
        <v>1100</v>
      </c>
      <c r="G213" s="78" t="s">
        <v>1106</v>
      </c>
      <c r="H213" s="103" t="s">
        <v>1376</v>
      </c>
      <c r="I213" s="78" t="s">
        <v>80</v>
      </c>
      <c r="J213" s="78"/>
      <c r="K213" s="78">
        <f t="shared" si="12"/>
        <v>0</v>
      </c>
      <c r="L213" s="78"/>
      <c r="M213" s="78"/>
      <c r="N213" s="78">
        <f t="shared" si="13"/>
        <v>36.9</v>
      </c>
      <c r="O213" s="78"/>
      <c r="P213" s="78"/>
      <c r="Q213" s="78">
        <f t="shared" si="14"/>
        <v>11.121022067363532</v>
      </c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</row>
    <row r="214" spans="1:32" ht="24.95" customHeight="1" x14ac:dyDescent="0.25">
      <c r="A214" s="77">
        <f t="shared" si="15"/>
        <v>211</v>
      </c>
      <c r="B214" s="79" t="s">
        <v>716</v>
      </c>
      <c r="C214" s="79" t="str">
        <f>'LIST OF LINES'!B98</f>
        <v>50-40-SS-NCG-05</v>
      </c>
      <c r="D214" s="78" t="s">
        <v>1377</v>
      </c>
      <c r="E214" s="78" t="s">
        <v>1378</v>
      </c>
      <c r="F214" s="78" t="s">
        <v>1100</v>
      </c>
      <c r="G214" s="78" t="s">
        <v>1106</v>
      </c>
      <c r="H214" s="103" t="s">
        <v>1376</v>
      </c>
      <c r="I214" s="78" t="s">
        <v>80</v>
      </c>
      <c r="J214" s="78"/>
      <c r="K214" s="78">
        <f t="shared" si="12"/>
        <v>0</v>
      </c>
      <c r="L214" s="78"/>
      <c r="M214" s="78"/>
      <c r="N214" s="78">
        <f t="shared" si="13"/>
        <v>36.9</v>
      </c>
      <c r="O214" s="78"/>
      <c r="P214" s="78"/>
      <c r="Q214" s="78">
        <f t="shared" si="14"/>
        <v>17.54215991692627</v>
      </c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</row>
    <row r="215" spans="1:32" ht="24.95" customHeight="1" x14ac:dyDescent="0.25">
      <c r="A215" s="77">
        <f t="shared" si="15"/>
        <v>212</v>
      </c>
      <c r="B215" s="79" t="s">
        <v>716</v>
      </c>
      <c r="C215" s="79" t="str">
        <f>'LIST OF LINES'!B99</f>
        <v>50-40-SS-NCG-06</v>
      </c>
      <c r="D215" s="78" t="s">
        <v>1379</v>
      </c>
      <c r="E215" s="78" t="s">
        <v>1380</v>
      </c>
      <c r="F215" s="78" t="s">
        <v>1100</v>
      </c>
      <c r="G215" s="78" t="s">
        <v>1106</v>
      </c>
      <c r="H215" s="103" t="s">
        <v>1376</v>
      </c>
      <c r="I215" s="78" t="s">
        <v>80</v>
      </c>
      <c r="J215" s="78"/>
      <c r="K215" s="78">
        <f t="shared" si="12"/>
        <v>0</v>
      </c>
      <c r="L215" s="78"/>
      <c r="M215" s="78"/>
      <c r="N215" s="78">
        <f t="shared" si="13"/>
        <v>36.9</v>
      </c>
      <c r="O215" s="78"/>
      <c r="P215" s="78"/>
      <c r="Q215" s="78">
        <f t="shared" si="14"/>
        <v>27.331626928471245</v>
      </c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</row>
    <row r="216" spans="1:32" ht="24.95" customHeight="1" x14ac:dyDescent="0.25">
      <c r="A216" s="77">
        <f t="shared" si="15"/>
        <v>213</v>
      </c>
      <c r="B216" s="79" t="s">
        <v>716</v>
      </c>
      <c r="C216" s="79" t="str">
        <f>'LIST OF LINES'!B100</f>
        <v>50-40-SS-NCG-07</v>
      </c>
      <c r="D216" s="78" t="s">
        <v>1381</v>
      </c>
      <c r="E216" s="78" t="s">
        <v>1382</v>
      </c>
      <c r="F216" s="78" t="s">
        <v>1100</v>
      </c>
      <c r="G216" s="78" t="s">
        <v>1106</v>
      </c>
      <c r="H216" s="103" t="s">
        <v>1376</v>
      </c>
      <c r="I216" s="78" t="s">
        <v>80</v>
      </c>
      <c r="J216" s="78"/>
      <c r="K216" s="78">
        <f t="shared" si="12"/>
        <v>0</v>
      </c>
      <c r="L216" s="78"/>
      <c r="M216" s="78"/>
      <c r="N216" s="78">
        <f t="shared" si="13"/>
        <v>35.700000000000003</v>
      </c>
      <c r="O216" s="78"/>
      <c r="P216" s="78"/>
      <c r="Q216" s="78">
        <f t="shared" si="14"/>
        <v>39.583302238805977</v>
      </c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</row>
    <row r="217" spans="1:32" ht="24.95" customHeight="1" x14ac:dyDescent="0.25">
      <c r="A217" s="77">
        <f t="shared" si="15"/>
        <v>214</v>
      </c>
      <c r="B217" s="79" t="s">
        <v>716</v>
      </c>
      <c r="C217" s="79" t="str">
        <f>'LIST OF LINES'!B101</f>
        <v>100-40-SS-NCG-08</v>
      </c>
      <c r="D217" s="78" t="s">
        <v>1383</v>
      </c>
      <c r="E217" s="78" t="s">
        <v>1384</v>
      </c>
      <c r="F217" s="78" t="s">
        <v>1100</v>
      </c>
      <c r="G217" s="78" t="s">
        <v>1106</v>
      </c>
      <c r="H217" s="103" t="s">
        <v>1271</v>
      </c>
      <c r="I217" s="78" t="s">
        <v>80</v>
      </c>
      <c r="J217" s="78"/>
      <c r="K217" s="78">
        <f t="shared" si="12"/>
        <v>0</v>
      </c>
      <c r="L217" s="78"/>
      <c r="M217" s="78"/>
      <c r="N217" s="78">
        <f t="shared" si="13"/>
        <v>44.01</v>
      </c>
      <c r="O217" s="78"/>
      <c r="P217" s="78"/>
      <c r="Q217" s="78">
        <f t="shared" si="14"/>
        <v>287.71764705882356</v>
      </c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</row>
    <row r="218" spans="1:32" ht="24.95" customHeight="1" x14ac:dyDescent="0.25">
      <c r="A218" s="77">
        <f t="shared" si="15"/>
        <v>215</v>
      </c>
      <c r="B218" s="79" t="s">
        <v>716</v>
      </c>
      <c r="C218" s="79" t="str">
        <f>'LIST OF LINES'!B102</f>
        <v>200-40-SS-NCG-09</v>
      </c>
      <c r="D218" s="78" t="s">
        <v>1385</v>
      </c>
      <c r="E218" s="78" t="s">
        <v>1386</v>
      </c>
      <c r="F218" s="78" t="s">
        <v>1100</v>
      </c>
      <c r="G218" s="78" t="s">
        <v>1106</v>
      </c>
      <c r="H218" s="103" t="s">
        <v>1107</v>
      </c>
      <c r="I218" s="78" t="s">
        <v>80</v>
      </c>
      <c r="J218" s="78"/>
      <c r="K218" s="78">
        <f t="shared" si="12"/>
        <v>0</v>
      </c>
      <c r="L218" s="78"/>
      <c r="M218" s="78"/>
      <c r="N218" s="78">
        <f t="shared" si="13"/>
        <v>41.91</v>
      </c>
      <c r="O218" s="78"/>
      <c r="P218" s="78"/>
      <c r="Q218" s="78">
        <f t="shared" si="14"/>
        <v>2091.5728021978016</v>
      </c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</row>
    <row r="219" spans="1:32" ht="24.95" customHeight="1" x14ac:dyDescent="0.25">
      <c r="A219" s="77">
        <f t="shared" si="15"/>
        <v>216</v>
      </c>
      <c r="B219" s="79" t="s">
        <v>681</v>
      </c>
      <c r="C219" s="79" t="str">
        <f>LIST_OF_EQUIPMENT!B14</f>
        <v>FC</v>
      </c>
      <c r="D219" s="78" t="s">
        <v>1063</v>
      </c>
      <c r="E219" s="78" t="s">
        <v>1387</v>
      </c>
      <c r="F219" s="78" t="s">
        <v>1100</v>
      </c>
      <c r="G219" s="78" t="s">
        <v>1101</v>
      </c>
      <c r="H219" s="78" t="s">
        <v>1102</v>
      </c>
      <c r="I219" s="78" t="s">
        <v>80</v>
      </c>
      <c r="J219" s="78"/>
      <c r="K219" s="78">
        <f t="shared" si="12"/>
        <v>8.2000000000000003E-2</v>
      </c>
      <c r="L219" s="78"/>
      <c r="M219" s="78"/>
      <c r="N219" s="78">
        <f t="shared" si="13"/>
        <v>41.91</v>
      </c>
      <c r="O219" s="78"/>
      <c r="P219" s="78"/>
      <c r="Q219" s="78" t="str">
        <f t="shared" si="14"/>
        <v/>
      </c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</row>
    <row r="220" spans="1:32" ht="24.95" customHeight="1" x14ac:dyDescent="0.25">
      <c r="A220" s="109">
        <f t="shared" si="15"/>
        <v>217</v>
      </c>
      <c r="B220" s="110" t="s">
        <v>681</v>
      </c>
      <c r="C220" s="110" t="str">
        <f>'LIST OF LINES'!$B$103</f>
        <v>XX-40-SS-NCG-10</v>
      </c>
      <c r="D220" s="102" t="s">
        <v>1068</v>
      </c>
      <c r="E220" s="110" t="s">
        <v>1388</v>
      </c>
      <c r="F220" s="102" t="s">
        <v>1100</v>
      </c>
      <c r="G220" s="102" t="s">
        <v>1101</v>
      </c>
      <c r="H220" s="102" t="s">
        <v>1102</v>
      </c>
      <c r="I220" s="78" t="s">
        <v>80</v>
      </c>
      <c r="J220" s="78"/>
      <c r="K220" s="78">
        <f t="shared" si="12"/>
        <v>0</v>
      </c>
      <c r="L220" s="78"/>
      <c r="M220" s="78"/>
      <c r="N220" s="78">
        <f t="shared" si="13"/>
        <v>0</v>
      </c>
      <c r="O220" s="78"/>
      <c r="P220" s="78"/>
      <c r="Q220" s="78" t="str">
        <f t="shared" si="14"/>
        <v/>
      </c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</row>
    <row r="221" spans="1:32" ht="24.95" customHeight="1" x14ac:dyDescent="0.25">
      <c r="A221" s="109">
        <f t="shared" si="15"/>
        <v>218</v>
      </c>
      <c r="B221" s="110" t="s">
        <v>681</v>
      </c>
      <c r="C221" s="110" t="str">
        <f>'LIST OF LINES'!$B$103</f>
        <v>XX-40-SS-NCG-10</v>
      </c>
      <c r="D221" s="102" t="s">
        <v>1389</v>
      </c>
      <c r="E221" s="110" t="s">
        <v>1390</v>
      </c>
      <c r="F221" s="102" t="s">
        <v>1100</v>
      </c>
      <c r="G221" s="102" t="s">
        <v>1106</v>
      </c>
      <c r="H221" s="102" t="s">
        <v>1271</v>
      </c>
      <c r="I221" s="78" t="s">
        <v>80</v>
      </c>
      <c r="J221" s="78"/>
      <c r="K221" s="78">
        <f t="shared" si="12"/>
        <v>0</v>
      </c>
      <c r="L221" s="78"/>
      <c r="M221" s="78"/>
      <c r="N221" s="78">
        <f t="shared" si="13"/>
        <v>0</v>
      </c>
      <c r="O221" s="78"/>
      <c r="P221" s="78"/>
      <c r="Q221" s="78" t="str">
        <f t="shared" si="14"/>
        <v/>
      </c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</row>
    <row r="222" spans="1:32" ht="24.95" customHeight="1" x14ac:dyDescent="0.25">
      <c r="A222" s="109">
        <f t="shared" si="15"/>
        <v>219</v>
      </c>
      <c r="B222" s="110" t="s">
        <v>681</v>
      </c>
      <c r="C222" s="110" t="str">
        <f>'LIST OF LINES'!$B$103</f>
        <v>XX-40-SS-NCG-10</v>
      </c>
      <c r="D222" s="102" t="s">
        <v>1391</v>
      </c>
      <c r="E222" s="110" t="s">
        <v>1392</v>
      </c>
      <c r="F222" s="102" t="s">
        <v>1100</v>
      </c>
      <c r="G222" s="102" t="s">
        <v>1106</v>
      </c>
      <c r="H222" s="102" t="s">
        <v>1271</v>
      </c>
      <c r="I222" s="78" t="s">
        <v>80</v>
      </c>
      <c r="J222" s="78"/>
      <c r="K222" s="78">
        <f t="shared" si="12"/>
        <v>0</v>
      </c>
      <c r="L222" s="78"/>
      <c r="M222" s="78"/>
      <c r="N222" s="78">
        <f t="shared" si="13"/>
        <v>0</v>
      </c>
      <c r="O222" s="78"/>
      <c r="P222" s="78"/>
      <c r="Q222" s="78" t="str">
        <f t="shared" si="14"/>
        <v/>
      </c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</row>
    <row r="223" spans="1:32" ht="24.95" customHeight="1" x14ac:dyDescent="0.25">
      <c r="A223" s="109">
        <f t="shared" si="15"/>
        <v>220</v>
      </c>
      <c r="B223" s="110" t="s">
        <v>681</v>
      </c>
      <c r="C223" s="110" t="str">
        <f>'LIST OF LINES'!$B$104</f>
        <v>XX-40-SS-NCG-11</v>
      </c>
      <c r="D223" s="102" t="s">
        <v>1072</v>
      </c>
      <c r="E223" s="110" t="s">
        <v>1393</v>
      </c>
      <c r="F223" s="102" t="s">
        <v>1100</v>
      </c>
      <c r="G223" s="102" t="s">
        <v>1101</v>
      </c>
      <c r="H223" s="102" t="s">
        <v>1102</v>
      </c>
      <c r="I223" s="78" t="s">
        <v>80</v>
      </c>
      <c r="J223" s="78"/>
      <c r="K223" s="78">
        <f t="shared" si="12"/>
        <v>0</v>
      </c>
      <c r="L223" s="78"/>
      <c r="M223" s="78"/>
      <c r="N223" s="78">
        <f t="shared" si="13"/>
        <v>0</v>
      </c>
      <c r="O223" s="78"/>
      <c r="P223" s="78"/>
      <c r="Q223" s="78" t="str">
        <f t="shared" si="14"/>
        <v/>
      </c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</row>
    <row r="224" spans="1:32" ht="24.95" customHeight="1" x14ac:dyDescent="0.25">
      <c r="A224" s="109">
        <f t="shared" si="15"/>
        <v>221</v>
      </c>
      <c r="B224" s="110" t="s">
        <v>681</v>
      </c>
      <c r="C224" s="110" t="str">
        <f>'LIST OF LINES'!$B$104</f>
        <v>XX-40-SS-NCG-11</v>
      </c>
      <c r="D224" s="102" t="s">
        <v>1075</v>
      </c>
      <c r="E224" s="110" t="s">
        <v>1394</v>
      </c>
      <c r="F224" s="102" t="s">
        <v>1100</v>
      </c>
      <c r="G224" s="102" t="s">
        <v>1101</v>
      </c>
      <c r="H224" s="102" t="s">
        <v>1102</v>
      </c>
      <c r="I224" s="78" t="s">
        <v>80</v>
      </c>
      <c r="J224" s="78"/>
      <c r="K224" s="78">
        <f t="shared" si="12"/>
        <v>0</v>
      </c>
      <c r="L224" s="78"/>
      <c r="M224" s="78"/>
      <c r="N224" s="78">
        <f t="shared" si="13"/>
        <v>0</v>
      </c>
      <c r="O224" s="78"/>
      <c r="P224" s="78"/>
      <c r="Q224" s="78" t="str">
        <f t="shared" si="14"/>
        <v/>
      </c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</row>
    <row r="225" spans="1:32" ht="24.95" customHeight="1" x14ac:dyDescent="0.25">
      <c r="A225" s="109">
        <f t="shared" si="15"/>
        <v>222</v>
      </c>
      <c r="B225" s="110" t="s">
        <v>681</v>
      </c>
      <c r="C225" s="110" t="str">
        <f>'LIST OF LINES'!$B$104</f>
        <v>XX-40-SS-NCG-11</v>
      </c>
      <c r="D225" s="102" t="s">
        <v>1395</v>
      </c>
      <c r="E225" s="110" t="s">
        <v>1073</v>
      </c>
      <c r="F225" s="102" t="s">
        <v>1116</v>
      </c>
      <c r="G225" s="102" t="s">
        <v>1106</v>
      </c>
      <c r="H225" s="102" t="s">
        <v>1271</v>
      </c>
      <c r="I225" s="78" t="s">
        <v>80</v>
      </c>
      <c r="J225" s="78"/>
      <c r="K225" s="78">
        <f t="shared" si="12"/>
        <v>0</v>
      </c>
      <c r="L225" s="78"/>
      <c r="M225" s="78"/>
      <c r="N225" s="78">
        <f t="shared" si="13"/>
        <v>0</v>
      </c>
      <c r="O225" s="78"/>
      <c r="P225" s="78"/>
      <c r="Q225" s="78" t="str">
        <f t="shared" si="14"/>
        <v/>
      </c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</row>
    <row r="226" spans="1:32" ht="24.95" customHeight="1" x14ac:dyDescent="0.25">
      <c r="A226" s="109">
        <f t="shared" si="15"/>
        <v>223</v>
      </c>
      <c r="B226" s="110" t="s">
        <v>681</v>
      </c>
      <c r="C226" s="110" t="str">
        <f>'LIST OF LINES'!$B$104</f>
        <v>XX-40-SS-NCG-11</v>
      </c>
      <c r="D226" s="102" t="s">
        <v>1396</v>
      </c>
      <c r="E226" s="110" t="s">
        <v>1076</v>
      </c>
      <c r="F226" s="102" t="s">
        <v>1116</v>
      </c>
      <c r="G226" s="102" t="s">
        <v>1106</v>
      </c>
      <c r="H226" s="102" t="s">
        <v>1271</v>
      </c>
      <c r="I226" s="78" t="s">
        <v>80</v>
      </c>
      <c r="J226" s="78"/>
      <c r="K226" s="78">
        <f t="shared" si="12"/>
        <v>0</v>
      </c>
      <c r="L226" s="78"/>
      <c r="M226" s="78"/>
      <c r="N226" s="78">
        <f t="shared" si="13"/>
        <v>0</v>
      </c>
      <c r="O226" s="78"/>
      <c r="P226" s="78"/>
      <c r="Q226" s="78" t="str">
        <f t="shared" si="14"/>
        <v/>
      </c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</row>
    <row r="227" spans="1:32" ht="24.95" customHeight="1" x14ac:dyDescent="0.25">
      <c r="A227" s="109">
        <f t="shared" si="15"/>
        <v>224</v>
      </c>
      <c r="B227" s="110" t="s">
        <v>681</v>
      </c>
      <c r="C227" s="110" t="str">
        <f>'LIST OF LINES'!$B$104</f>
        <v>XX-40-SS-NCG-11</v>
      </c>
      <c r="D227" s="102" t="s">
        <v>1397</v>
      </c>
      <c r="E227" s="110" t="s">
        <v>1073</v>
      </c>
      <c r="F227" s="102" t="s">
        <v>1100</v>
      </c>
      <c r="G227" s="102" t="s">
        <v>1106</v>
      </c>
      <c r="H227" s="102" t="s">
        <v>1271</v>
      </c>
      <c r="I227" s="78" t="s">
        <v>80</v>
      </c>
      <c r="J227" s="78"/>
      <c r="K227" s="78">
        <f t="shared" si="12"/>
        <v>0</v>
      </c>
      <c r="L227" s="78"/>
      <c r="M227" s="78"/>
      <c r="N227" s="78">
        <f t="shared" si="13"/>
        <v>0</v>
      </c>
      <c r="O227" s="78"/>
      <c r="P227" s="78"/>
      <c r="Q227" s="78" t="str">
        <f t="shared" si="14"/>
        <v/>
      </c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</row>
    <row r="228" spans="1:32" ht="24.95" customHeight="1" x14ac:dyDescent="0.25">
      <c r="A228" s="109">
        <f t="shared" si="15"/>
        <v>225</v>
      </c>
      <c r="B228" s="110" t="s">
        <v>681</v>
      </c>
      <c r="C228" s="110" t="str">
        <f>'LIST OF LINES'!$B$104</f>
        <v>XX-40-SS-NCG-11</v>
      </c>
      <c r="D228" s="102" t="s">
        <v>1398</v>
      </c>
      <c r="E228" s="110" t="s">
        <v>1076</v>
      </c>
      <c r="F228" s="102" t="s">
        <v>1100</v>
      </c>
      <c r="G228" s="102" t="s">
        <v>1106</v>
      </c>
      <c r="H228" s="102" t="s">
        <v>1271</v>
      </c>
      <c r="I228" s="78" t="s">
        <v>80</v>
      </c>
      <c r="J228" s="78"/>
      <c r="K228" s="78">
        <f t="shared" si="12"/>
        <v>0</v>
      </c>
      <c r="L228" s="78"/>
      <c r="M228" s="78"/>
      <c r="N228" s="78">
        <f t="shared" si="13"/>
        <v>0</v>
      </c>
      <c r="O228" s="78"/>
      <c r="P228" s="78"/>
      <c r="Q228" s="78" t="str">
        <f t="shared" si="14"/>
        <v/>
      </c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</row>
    <row r="229" spans="1:32" ht="24.95" customHeight="1" x14ac:dyDescent="0.25">
      <c r="A229" s="77">
        <f t="shared" si="15"/>
        <v>226</v>
      </c>
      <c r="B229" s="79" t="s">
        <v>1077</v>
      </c>
      <c r="C229" s="79" t="str">
        <f>LIST_OF_EQUIPMENT!B29</f>
        <v>AST</v>
      </c>
      <c r="D229" s="78" t="s">
        <v>1399</v>
      </c>
      <c r="E229" s="79" t="s">
        <v>1400</v>
      </c>
      <c r="F229" s="78" t="s">
        <v>1100</v>
      </c>
      <c r="G229" s="78" t="s">
        <v>1106</v>
      </c>
      <c r="H229" s="102" t="s">
        <v>174</v>
      </c>
      <c r="I229" s="78" t="s">
        <v>1080</v>
      </c>
      <c r="J229" s="78"/>
      <c r="K229" s="78">
        <f t="shared" si="12"/>
        <v>0</v>
      </c>
      <c r="L229" s="78"/>
      <c r="M229" s="78"/>
      <c r="N229" s="78">
        <f t="shared" si="13"/>
        <v>0</v>
      </c>
      <c r="O229" s="78"/>
      <c r="P229" s="78"/>
      <c r="Q229" s="78" t="str">
        <f t="shared" si="14"/>
        <v/>
      </c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</row>
    <row r="230" spans="1:32" ht="24.95" customHeight="1" x14ac:dyDescent="0.25">
      <c r="A230" s="77">
        <f t="shared" si="15"/>
        <v>227</v>
      </c>
      <c r="B230" s="79" t="s">
        <v>1077</v>
      </c>
      <c r="C230" s="79" t="str">
        <f>LIST_OF_EQUIPMENT!B29</f>
        <v>AST</v>
      </c>
      <c r="D230" s="78" t="s">
        <v>1401</v>
      </c>
      <c r="E230" s="79" t="s">
        <v>1402</v>
      </c>
      <c r="F230" s="78" t="s">
        <v>1100</v>
      </c>
      <c r="G230" s="78" t="s">
        <v>1106</v>
      </c>
      <c r="H230" s="102" t="s">
        <v>174</v>
      </c>
      <c r="I230" s="78" t="s">
        <v>1080</v>
      </c>
      <c r="J230" s="78"/>
      <c r="K230" s="78">
        <f t="shared" si="12"/>
        <v>0</v>
      </c>
      <c r="L230" s="78"/>
      <c r="M230" s="78"/>
      <c r="N230" s="78">
        <f t="shared" si="13"/>
        <v>0</v>
      </c>
      <c r="O230" s="78"/>
      <c r="P230" s="78"/>
      <c r="Q230" s="78" t="str">
        <f t="shared" si="14"/>
        <v/>
      </c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</row>
    <row r="231" spans="1:32" ht="24.95" customHeight="1" x14ac:dyDescent="0.25">
      <c r="A231" s="77">
        <f t="shared" si="15"/>
        <v>228</v>
      </c>
      <c r="B231" s="79" t="s">
        <v>1077</v>
      </c>
      <c r="C231" s="79" t="str">
        <f>LIST_OF_EQUIPMENT!B30</f>
        <v>AFT</v>
      </c>
      <c r="D231" s="78" t="s">
        <v>1403</v>
      </c>
      <c r="E231" s="79" t="s">
        <v>1404</v>
      </c>
      <c r="F231" s="78" t="s">
        <v>1100</v>
      </c>
      <c r="G231" s="78" t="s">
        <v>1106</v>
      </c>
      <c r="H231" s="102" t="s">
        <v>174</v>
      </c>
      <c r="I231" s="78" t="s">
        <v>1080</v>
      </c>
      <c r="J231" s="78"/>
      <c r="K231" s="78">
        <f t="shared" si="12"/>
        <v>0</v>
      </c>
      <c r="L231" s="78"/>
      <c r="M231" s="78"/>
      <c r="N231" s="78">
        <f t="shared" si="13"/>
        <v>0</v>
      </c>
      <c r="O231" s="78"/>
      <c r="P231" s="78"/>
      <c r="Q231" s="78" t="str">
        <f t="shared" si="14"/>
        <v/>
      </c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</row>
    <row r="232" spans="1:32" ht="24.95" customHeight="1" x14ac:dyDescent="0.25">
      <c r="A232" s="77">
        <f t="shared" si="15"/>
        <v>229</v>
      </c>
      <c r="B232" s="79" t="s">
        <v>1077</v>
      </c>
      <c r="C232" s="79" t="str">
        <f>LIST_OF_EQUIPMENT!B30</f>
        <v>AFT</v>
      </c>
      <c r="D232" s="78" t="s">
        <v>1405</v>
      </c>
      <c r="E232" s="79" t="s">
        <v>1406</v>
      </c>
      <c r="F232" s="78" t="s">
        <v>1100</v>
      </c>
      <c r="G232" s="78" t="s">
        <v>1106</v>
      </c>
      <c r="H232" s="102" t="s">
        <v>174</v>
      </c>
      <c r="I232" s="78" t="s">
        <v>1080</v>
      </c>
      <c r="J232" s="78"/>
      <c r="K232" s="78">
        <f t="shared" si="12"/>
        <v>0</v>
      </c>
      <c r="L232" s="78"/>
      <c r="M232" s="78"/>
      <c r="N232" s="78">
        <f t="shared" si="13"/>
        <v>0</v>
      </c>
      <c r="O232" s="78"/>
      <c r="P232" s="78"/>
      <c r="Q232" s="78" t="str">
        <f t="shared" si="14"/>
        <v/>
      </c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</row>
    <row r="233" spans="1:32" ht="24.95" customHeight="1" x14ac:dyDescent="0.25">
      <c r="A233" s="77">
        <f t="shared" si="15"/>
        <v>230</v>
      </c>
      <c r="B233" s="79" t="s">
        <v>1077</v>
      </c>
      <c r="C233" s="79" t="str">
        <f>LIST_OF_EQUIPMENT!B31</f>
        <v>ACT</v>
      </c>
      <c r="D233" s="78" t="s">
        <v>1407</v>
      </c>
      <c r="E233" s="79" t="s">
        <v>1408</v>
      </c>
      <c r="F233" s="78" t="s">
        <v>1100</v>
      </c>
      <c r="G233" s="78" t="s">
        <v>1106</v>
      </c>
      <c r="H233" s="102" t="s">
        <v>174</v>
      </c>
      <c r="I233" s="78" t="s">
        <v>1080</v>
      </c>
      <c r="J233" s="78"/>
      <c r="K233" s="78">
        <f t="shared" si="12"/>
        <v>0</v>
      </c>
      <c r="L233" s="78"/>
      <c r="M233" s="78"/>
      <c r="N233" s="78">
        <f t="shared" si="13"/>
        <v>0</v>
      </c>
      <c r="O233" s="78"/>
      <c r="P233" s="78"/>
      <c r="Q233" s="78" t="str">
        <f t="shared" si="14"/>
        <v/>
      </c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</row>
    <row r="234" spans="1:32" ht="24.95" customHeight="1" x14ac:dyDescent="0.25">
      <c r="A234" s="77">
        <f t="shared" si="15"/>
        <v>231</v>
      </c>
      <c r="B234" s="79" t="s">
        <v>1077</v>
      </c>
      <c r="C234" s="79" t="str">
        <f>LIST_OF_EQUIPMENT!B31</f>
        <v>ACT</v>
      </c>
      <c r="D234" s="78" t="s">
        <v>1409</v>
      </c>
      <c r="E234" s="79" t="s">
        <v>1410</v>
      </c>
      <c r="F234" s="78" t="s">
        <v>1100</v>
      </c>
      <c r="G234" s="78" t="s">
        <v>1106</v>
      </c>
      <c r="H234" s="102" t="s">
        <v>174</v>
      </c>
      <c r="I234" s="78" t="s">
        <v>1080</v>
      </c>
      <c r="J234" s="78"/>
      <c r="K234" s="78">
        <f t="shared" si="12"/>
        <v>0</v>
      </c>
      <c r="L234" s="78"/>
      <c r="M234" s="78"/>
      <c r="N234" s="78">
        <f t="shared" si="13"/>
        <v>0</v>
      </c>
      <c r="O234" s="78"/>
      <c r="P234" s="78"/>
      <c r="Q234" s="78" t="str">
        <f t="shared" si="14"/>
        <v/>
      </c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</row>
    <row r="235" spans="1:32" ht="24.95" customHeight="1" x14ac:dyDescent="0.25">
      <c r="A235" s="77">
        <f t="shared" si="15"/>
        <v>232</v>
      </c>
      <c r="B235" s="79" t="s">
        <v>1077</v>
      </c>
      <c r="C235" s="79" t="str">
        <f>'LIST OF LINES'!B106</f>
        <v>XX-40-SS-DO-01</v>
      </c>
      <c r="D235" s="78" t="s">
        <v>1411</v>
      </c>
      <c r="E235" s="79" t="s">
        <v>1412</v>
      </c>
      <c r="F235" s="78" t="s">
        <v>1116</v>
      </c>
      <c r="G235" s="78" t="s">
        <v>1106</v>
      </c>
      <c r="H235" s="102" t="s">
        <v>174</v>
      </c>
      <c r="I235" s="78" t="s">
        <v>1080</v>
      </c>
      <c r="J235" s="78"/>
      <c r="K235" s="78" t="e">
        <f t="shared" si="12"/>
        <v>#N/A</v>
      </c>
      <c r="L235" s="78"/>
      <c r="M235" s="78"/>
      <c r="N235" s="78" t="e">
        <f t="shared" si="13"/>
        <v>#N/A</v>
      </c>
      <c r="O235" s="78"/>
      <c r="P235" s="78"/>
      <c r="Q235" s="78" t="str">
        <f t="shared" si="14"/>
        <v/>
      </c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</row>
    <row r="236" spans="1:32" ht="24.95" customHeight="1" x14ac:dyDescent="0.25">
      <c r="A236" s="77">
        <f t="shared" si="15"/>
        <v>233</v>
      </c>
      <c r="B236" s="79" t="s">
        <v>1077</v>
      </c>
      <c r="C236" s="79" t="str">
        <f>'LIST OF LINES'!B106</f>
        <v>XX-40-SS-DO-01</v>
      </c>
      <c r="D236" s="78" t="s">
        <v>1413</v>
      </c>
      <c r="E236" s="79" t="s">
        <v>1412</v>
      </c>
      <c r="F236" s="78" t="s">
        <v>1100</v>
      </c>
      <c r="G236" s="78" t="s">
        <v>1106</v>
      </c>
      <c r="H236" s="102" t="s">
        <v>174</v>
      </c>
      <c r="I236" s="78" t="s">
        <v>1080</v>
      </c>
      <c r="J236" s="78"/>
      <c r="K236" s="78" t="e">
        <f t="shared" si="12"/>
        <v>#N/A</v>
      </c>
      <c r="L236" s="78"/>
      <c r="M236" s="78"/>
      <c r="N236" s="78" t="e">
        <f t="shared" si="13"/>
        <v>#N/A</v>
      </c>
      <c r="O236" s="78"/>
      <c r="P236" s="78"/>
      <c r="Q236" s="78" t="str">
        <f t="shared" si="14"/>
        <v/>
      </c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</row>
    <row r="237" spans="1:32" ht="24.95" customHeight="1" x14ac:dyDescent="0.25">
      <c r="A237" s="77">
        <f t="shared" si="15"/>
        <v>234</v>
      </c>
      <c r="B237" s="79" t="s">
        <v>1077</v>
      </c>
      <c r="C237" s="79" t="str">
        <f>'LIST OF LINES'!B107</f>
        <v>XX-40-SS-DO-02</v>
      </c>
      <c r="D237" s="78" t="s">
        <v>1414</v>
      </c>
      <c r="E237" s="79" t="s">
        <v>1415</v>
      </c>
      <c r="F237" s="78" t="s">
        <v>1116</v>
      </c>
      <c r="G237" s="78" t="s">
        <v>1106</v>
      </c>
      <c r="H237" s="102" t="s">
        <v>174</v>
      </c>
      <c r="I237" s="78" t="s">
        <v>1080</v>
      </c>
      <c r="J237" s="78"/>
      <c r="K237" s="78" t="e">
        <f t="shared" si="12"/>
        <v>#N/A</v>
      </c>
      <c r="L237" s="78"/>
      <c r="M237" s="78"/>
      <c r="N237" s="78" t="e">
        <f t="shared" si="13"/>
        <v>#N/A</v>
      </c>
      <c r="O237" s="78"/>
      <c r="P237" s="78"/>
      <c r="Q237" s="78" t="str">
        <f t="shared" si="14"/>
        <v/>
      </c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</row>
    <row r="238" spans="1:32" ht="24.95" customHeight="1" x14ac:dyDescent="0.25">
      <c r="A238" s="77">
        <f t="shared" si="15"/>
        <v>235</v>
      </c>
      <c r="B238" s="79" t="s">
        <v>1077</v>
      </c>
      <c r="C238" s="79" t="str">
        <f>'LIST OF LINES'!B107</f>
        <v>XX-40-SS-DO-02</v>
      </c>
      <c r="D238" s="78" t="s">
        <v>1416</v>
      </c>
      <c r="E238" s="79" t="s">
        <v>1415</v>
      </c>
      <c r="F238" s="78" t="s">
        <v>1100</v>
      </c>
      <c r="G238" s="78" t="s">
        <v>1106</v>
      </c>
      <c r="H238" s="102" t="s">
        <v>174</v>
      </c>
      <c r="I238" s="78" t="s">
        <v>1080</v>
      </c>
      <c r="J238" s="78"/>
      <c r="K238" s="78" t="e">
        <f t="shared" si="12"/>
        <v>#N/A</v>
      </c>
      <c r="L238" s="78"/>
      <c r="M238" s="78"/>
      <c r="N238" s="78" t="e">
        <f t="shared" si="13"/>
        <v>#N/A</v>
      </c>
      <c r="O238" s="78"/>
      <c r="P238" s="78"/>
      <c r="Q238" s="78" t="str">
        <f t="shared" si="14"/>
        <v/>
      </c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</row>
    <row r="239" spans="1:32" ht="24.95" customHeight="1" x14ac:dyDescent="0.25">
      <c r="A239" s="77">
        <f t="shared" si="15"/>
        <v>236</v>
      </c>
      <c r="B239" s="79" t="s">
        <v>1077</v>
      </c>
      <c r="C239" s="79" t="str">
        <f>'LIST OF LINES'!B108</f>
        <v>XX-40-SS-DO-03</v>
      </c>
      <c r="D239" s="78" t="s">
        <v>1417</v>
      </c>
      <c r="E239" s="79" t="s">
        <v>1418</v>
      </c>
      <c r="F239" s="78" t="s">
        <v>1116</v>
      </c>
      <c r="G239" s="78" t="s">
        <v>1106</v>
      </c>
      <c r="H239" s="102" t="s">
        <v>174</v>
      </c>
      <c r="I239" s="78" t="s">
        <v>1080</v>
      </c>
      <c r="J239" s="78"/>
      <c r="K239" s="78" t="e">
        <f t="shared" si="12"/>
        <v>#N/A</v>
      </c>
      <c r="L239" s="78"/>
      <c r="M239" s="78"/>
      <c r="N239" s="78" t="e">
        <f t="shared" si="13"/>
        <v>#N/A</v>
      </c>
      <c r="O239" s="78"/>
      <c r="P239" s="78"/>
      <c r="Q239" s="78" t="str">
        <f t="shared" si="14"/>
        <v/>
      </c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</row>
    <row r="240" spans="1:32" ht="24.95" customHeight="1" x14ac:dyDescent="0.25">
      <c r="A240" s="77">
        <f t="shared" si="15"/>
        <v>237</v>
      </c>
      <c r="B240" s="79" t="s">
        <v>1077</v>
      </c>
      <c r="C240" s="79" t="str">
        <f>'LIST OF LINES'!B108</f>
        <v>XX-40-SS-DO-03</v>
      </c>
      <c r="D240" s="78" t="s">
        <v>1419</v>
      </c>
      <c r="E240" s="79" t="s">
        <v>1418</v>
      </c>
      <c r="F240" s="78" t="s">
        <v>1100</v>
      </c>
      <c r="G240" s="78" t="s">
        <v>1106</v>
      </c>
      <c r="H240" s="102" t="s">
        <v>174</v>
      </c>
      <c r="I240" s="78" t="s">
        <v>1080</v>
      </c>
      <c r="J240" s="78"/>
      <c r="K240" s="78" t="e">
        <f t="shared" si="12"/>
        <v>#N/A</v>
      </c>
      <c r="L240" s="78"/>
      <c r="M240" s="78"/>
      <c r="N240" s="78" t="e">
        <f t="shared" si="13"/>
        <v>#N/A</v>
      </c>
      <c r="O240" s="78"/>
      <c r="P240" s="78"/>
      <c r="Q240" s="78" t="str">
        <f t="shared" si="14"/>
        <v/>
      </c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</row>
    <row r="241" spans="1:32" ht="24.95" customHeight="1" x14ac:dyDescent="0.25">
      <c r="A241" s="77">
        <f t="shared" si="15"/>
        <v>238</v>
      </c>
      <c r="B241" s="79" t="s">
        <v>1077</v>
      </c>
      <c r="C241" s="79" t="str">
        <f>'LIST OF LINES'!B110</f>
        <v>50-40-SS-SE-01</v>
      </c>
      <c r="D241" s="78" t="s">
        <v>1420</v>
      </c>
      <c r="E241" s="79" t="s">
        <v>1421</v>
      </c>
      <c r="F241" s="78" t="s">
        <v>1100</v>
      </c>
      <c r="G241" s="78" t="s">
        <v>1106</v>
      </c>
      <c r="H241" s="78" t="s">
        <v>1343</v>
      </c>
      <c r="I241" s="78" t="s">
        <v>1422</v>
      </c>
      <c r="J241" s="78"/>
      <c r="K241" s="78" t="e">
        <f t="shared" si="12"/>
        <v>#N/A</v>
      </c>
      <c r="L241" s="78"/>
      <c r="M241" s="78"/>
      <c r="N241" s="78" t="e">
        <f t="shared" si="13"/>
        <v>#N/A</v>
      </c>
      <c r="O241" s="78"/>
      <c r="P241" s="78"/>
      <c r="Q241" s="78" t="str">
        <f t="shared" si="14"/>
        <v/>
      </c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</row>
    <row r="242" spans="1:32" ht="24.95" customHeight="1" x14ac:dyDescent="0.25">
      <c r="A242" s="77">
        <f t="shared" si="15"/>
        <v>239</v>
      </c>
      <c r="B242" s="79" t="s">
        <v>1077</v>
      </c>
      <c r="C242" s="79" t="str">
        <f>'LIST OF LINES'!B111</f>
        <v>50-40-SS-SE-02</v>
      </c>
      <c r="D242" s="78" t="s">
        <v>1423</v>
      </c>
      <c r="E242" s="79" t="s">
        <v>1424</v>
      </c>
      <c r="F242" s="78" t="s">
        <v>1100</v>
      </c>
      <c r="G242" s="78" t="s">
        <v>1106</v>
      </c>
      <c r="H242" s="78" t="s">
        <v>1343</v>
      </c>
      <c r="I242" s="78" t="s">
        <v>1422</v>
      </c>
      <c r="J242" s="78"/>
      <c r="K242" s="78" t="e">
        <f t="shared" si="12"/>
        <v>#N/A</v>
      </c>
      <c r="L242" s="78"/>
      <c r="M242" s="78"/>
      <c r="N242" s="78" t="e">
        <f t="shared" si="13"/>
        <v>#N/A</v>
      </c>
      <c r="O242" s="78"/>
      <c r="P242" s="78"/>
      <c r="Q242" s="78" t="str">
        <f t="shared" si="14"/>
        <v/>
      </c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</row>
    <row r="243" spans="1:32" ht="24.95" customHeight="1" x14ac:dyDescent="0.25">
      <c r="A243" s="77">
        <f t="shared" si="15"/>
        <v>240</v>
      </c>
      <c r="B243" s="79" t="s">
        <v>1077</v>
      </c>
      <c r="C243" s="79" t="str">
        <f>'LIST OF LINES'!B112</f>
        <v>50-40-SS-SE-03</v>
      </c>
      <c r="D243" s="78" t="s">
        <v>1425</v>
      </c>
      <c r="E243" s="79" t="s">
        <v>1426</v>
      </c>
      <c r="F243" s="78" t="s">
        <v>1100</v>
      </c>
      <c r="G243" s="78" t="s">
        <v>1106</v>
      </c>
      <c r="H243" s="78" t="s">
        <v>1343</v>
      </c>
      <c r="I243" s="78" t="s">
        <v>1422</v>
      </c>
      <c r="J243" s="78"/>
      <c r="K243" s="78" t="e">
        <f t="shared" si="12"/>
        <v>#N/A</v>
      </c>
      <c r="L243" s="78"/>
      <c r="M243" s="78"/>
      <c r="N243" s="78" t="e">
        <f t="shared" si="13"/>
        <v>#N/A</v>
      </c>
      <c r="O243" s="78"/>
      <c r="P243" s="78"/>
      <c r="Q243" s="78" t="str">
        <f t="shared" si="14"/>
        <v/>
      </c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</row>
    <row r="244" spans="1:32" ht="24.95" customHeight="1" x14ac:dyDescent="0.25">
      <c r="A244" s="77">
        <f t="shared" si="15"/>
        <v>241</v>
      </c>
      <c r="B244" s="79" t="s">
        <v>681</v>
      </c>
      <c r="C244" s="79" t="str">
        <f>'LIST OF LINES'!B113</f>
        <v>50-40-SS-SE-04</v>
      </c>
      <c r="D244" s="78" t="s">
        <v>1425</v>
      </c>
      <c r="E244" s="79" t="s">
        <v>1427</v>
      </c>
      <c r="F244" s="78" t="s">
        <v>1100</v>
      </c>
      <c r="G244" s="78" t="s">
        <v>1106</v>
      </c>
      <c r="H244" s="78" t="s">
        <v>1343</v>
      </c>
      <c r="I244" s="78" t="s">
        <v>1422</v>
      </c>
      <c r="J244" s="78"/>
      <c r="K244" s="78" t="e">
        <f t="shared" si="12"/>
        <v>#N/A</v>
      </c>
      <c r="L244" s="78"/>
      <c r="M244" s="78"/>
      <c r="N244" s="78" t="e">
        <f t="shared" si="13"/>
        <v>#N/A</v>
      </c>
      <c r="O244" s="78"/>
      <c r="P244" s="78"/>
      <c r="Q244" s="78" t="str">
        <f t="shared" si="14"/>
        <v/>
      </c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</row>
    <row r="245" spans="1:32" ht="24.95" customHeight="1" x14ac:dyDescent="0.25">
      <c r="A245" s="77">
        <f t="shared" si="15"/>
        <v>242</v>
      </c>
      <c r="B245" s="79" t="s">
        <v>681</v>
      </c>
      <c r="C245" s="79" t="s">
        <v>552</v>
      </c>
      <c r="D245" s="78" t="s">
        <v>1428</v>
      </c>
      <c r="E245" s="79" t="s">
        <v>1429</v>
      </c>
      <c r="F245" s="78" t="s">
        <v>1100</v>
      </c>
      <c r="G245" s="78" t="s">
        <v>1106</v>
      </c>
      <c r="H245" s="78" t="s">
        <v>1102</v>
      </c>
      <c r="I245" s="78" t="s">
        <v>1430</v>
      </c>
      <c r="J245" s="78"/>
      <c r="K245" s="78" t="e">
        <f t="shared" si="12"/>
        <v>#N/A</v>
      </c>
      <c r="L245" s="78"/>
      <c r="M245" s="78"/>
      <c r="N245" s="78" t="e">
        <f t="shared" si="13"/>
        <v>#N/A</v>
      </c>
      <c r="O245" s="78"/>
      <c r="P245" s="78"/>
      <c r="Q245" s="78" t="str">
        <f t="shared" si="14"/>
        <v/>
      </c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</row>
    <row r="246" spans="1:32" ht="24.95" customHeight="1" x14ac:dyDescent="0.25">
      <c r="A246" s="77">
        <f t="shared" si="15"/>
        <v>243</v>
      </c>
      <c r="B246" s="79" t="s">
        <v>681</v>
      </c>
      <c r="C246" s="79" t="s">
        <v>553</v>
      </c>
      <c r="D246" s="78" t="s">
        <v>1431</v>
      </c>
      <c r="E246" s="79" t="s">
        <v>1432</v>
      </c>
      <c r="F246" s="78" t="s">
        <v>1100</v>
      </c>
      <c r="G246" s="78" t="s">
        <v>1101</v>
      </c>
      <c r="H246" s="78" t="s">
        <v>1102</v>
      </c>
      <c r="I246" s="78" t="s">
        <v>1430</v>
      </c>
      <c r="J246" s="78"/>
      <c r="K246" s="78" t="e">
        <f t="shared" si="12"/>
        <v>#N/A</v>
      </c>
      <c r="L246" s="78"/>
      <c r="M246" s="78"/>
      <c r="N246" s="78" t="e">
        <f t="shared" si="13"/>
        <v>#N/A</v>
      </c>
      <c r="O246" s="78"/>
      <c r="P246" s="78"/>
      <c r="Q246" s="78" t="str">
        <f t="shared" si="14"/>
        <v/>
      </c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</row>
    <row r="247" spans="1:32" ht="24.95" customHeight="1" x14ac:dyDescent="0.25">
      <c r="A247" s="77">
        <f t="shared" si="15"/>
        <v>244</v>
      </c>
      <c r="B247" s="79" t="s">
        <v>681</v>
      </c>
      <c r="C247" s="79" t="s">
        <v>554</v>
      </c>
      <c r="D247" s="78" t="s">
        <v>1433</v>
      </c>
      <c r="E247" s="79" t="s">
        <v>1434</v>
      </c>
      <c r="F247" s="78" t="s">
        <v>1100</v>
      </c>
      <c r="G247" s="78" t="s">
        <v>1106</v>
      </c>
      <c r="H247" s="78" t="s">
        <v>1102</v>
      </c>
      <c r="I247" s="78" t="s">
        <v>1430</v>
      </c>
      <c r="J247" s="78"/>
      <c r="K247" s="78" t="e">
        <f t="shared" si="12"/>
        <v>#N/A</v>
      </c>
      <c r="L247" s="78"/>
      <c r="M247" s="78"/>
      <c r="N247" s="78" t="e">
        <f t="shared" si="13"/>
        <v>#N/A</v>
      </c>
      <c r="O247" s="78"/>
      <c r="P247" s="78"/>
      <c r="Q247" s="78" t="str">
        <f t="shared" si="14"/>
        <v/>
      </c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</row>
    <row r="248" spans="1:32" ht="24.95" customHeight="1" x14ac:dyDescent="0.25">
      <c r="A248" s="77">
        <f t="shared" si="15"/>
        <v>245</v>
      </c>
      <c r="B248" s="79" t="s">
        <v>681</v>
      </c>
      <c r="C248" s="79" t="s">
        <v>555</v>
      </c>
      <c r="D248" s="78" t="s">
        <v>1435</v>
      </c>
      <c r="E248" s="79" t="s">
        <v>1436</v>
      </c>
      <c r="F248" s="78" t="s">
        <v>1100</v>
      </c>
      <c r="G248" s="78" t="s">
        <v>1101</v>
      </c>
      <c r="H248" s="78" t="s">
        <v>1102</v>
      </c>
      <c r="I248" s="78" t="s">
        <v>1430</v>
      </c>
      <c r="J248" s="78"/>
      <c r="K248" s="78" t="e">
        <f t="shared" si="12"/>
        <v>#N/A</v>
      </c>
      <c r="L248" s="78"/>
      <c r="M248" s="78"/>
      <c r="N248" s="78" t="e">
        <f t="shared" si="13"/>
        <v>#N/A</v>
      </c>
      <c r="O248" s="78"/>
      <c r="P248" s="78"/>
      <c r="Q248" s="78" t="str">
        <f t="shared" si="14"/>
        <v/>
      </c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</row>
    <row r="249" spans="1:32" ht="15.75" x14ac:dyDescent="0.25"/>
    <row r="250" spans="1:32" ht="15.75" x14ac:dyDescent="0.25"/>
    <row r="251" spans="1:32" ht="24.95" customHeight="1" x14ac:dyDescent="0.25">
      <c r="A251" s="131" t="s">
        <v>1437</v>
      </c>
      <c r="B251" s="132"/>
      <c r="C251" s="132"/>
      <c r="D251" s="132"/>
      <c r="E251" s="132"/>
      <c r="F251" s="132"/>
      <c r="G251" s="132"/>
      <c r="H251" s="132"/>
    </row>
    <row r="252" spans="1:32" ht="24.95" customHeight="1" x14ac:dyDescent="0.25">
      <c r="A252" s="77">
        <v>1</v>
      </c>
      <c r="B252" s="79" t="s">
        <v>681</v>
      </c>
      <c r="C252" s="78" t="s">
        <v>1438</v>
      </c>
      <c r="D252" s="78" t="s">
        <v>1439</v>
      </c>
      <c r="E252" s="78" t="s">
        <v>1440</v>
      </c>
      <c r="F252" s="78" t="s">
        <v>1441</v>
      </c>
      <c r="G252" s="78" t="s">
        <v>1106</v>
      </c>
      <c r="H252" s="78" t="s">
        <v>1107</v>
      </c>
      <c r="K252" t="e">
        <f t="shared" ref="K252:K264" si="16">IFERROR(INDEX(Pressures_bar,MATCH(INDEX(LOL_LineTags,MATCH(C252,LOL_LineNumbers,0)),LineTags,0)),IFERROR(INDEX(LOE_Pressures,MATCH(C252,LOE_EquipNames,0))/1000,INDEX(LOE_Pressures,MATCH(C252,LOE_EquipTags,0))/1000))</f>
        <v>#N/A</v>
      </c>
      <c r="N252" t="e">
        <f t="shared" ref="N252:N264" si="17">IFERROR(INDEX(Temperatures,MATCH(INDEX(LOL_LineTags,MATCH(C252,LOL_LineNumbers,0)),LineTags,0)),IFERROR(INDEX(LOE_Temperatures,MATCH(C252,LOE_EquipNames,0)),INDEX(LOE_Temperatures,MATCH(C252,LOE_EquipTags,0))))</f>
        <v>#N/A</v>
      </c>
      <c r="Q252" t="str">
        <f t="shared" ref="Q252:Q264" si="18">IFERROR(INDEX(FlowRates_kghr,MATCH(INDEX(LOL_LineTags,MATCH(C252,LOL_LineNumbers,0)),LineTags,0))/INDEX(Densities,MATCH(INDEX(LOL_LineTags,MATCH(C252,LOL_LineNumbers,0)),LineTags,0)),"")</f>
        <v/>
      </c>
    </row>
    <row r="253" spans="1:32" ht="24.95" customHeight="1" x14ac:dyDescent="0.25">
      <c r="A253" s="77">
        <f t="shared" ref="A253:A264" si="19">A252+1</f>
        <v>2</v>
      </c>
      <c r="B253" s="79" t="s">
        <v>681</v>
      </c>
      <c r="C253" s="78" t="s">
        <v>1438</v>
      </c>
      <c r="D253" s="78" t="s">
        <v>1442</v>
      </c>
      <c r="E253" s="78" t="s">
        <v>1443</v>
      </c>
      <c r="F253" s="78" t="s">
        <v>1441</v>
      </c>
      <c r="G253" s="78" t="s">
        <v>1106</v>
      </c>
      <c r="H253" s="78" t="s">
        <v>1107</v>
      </c>
      <c r="K253" t="e">
        <f t="shared" si="16"/>
        <v>#N/A</v>
      </c>
      <c r="N253" t="e">
        <f t="shared" si="17"/>
        <v>#N/A</v>
      </c>
      <c r="Q253" t="str">
        <f t="shared" si="18"/>
        <v/>
      </c>
    </row>
    <row r="254" spans="1:32" ht="24.95" customHeight="1" x14ac:dyDescent="0.25">
      <c r="A254" s="77">
        <f t="shared" si="19"/>
        <v>3</v>
      </c>
      <c r="B254" s="79" t="s">
        <v>681</v>
      </c>
      <c r="C254" s="78" t="s">
        <v>1444</v>
      </c>
      <c r="D254" s="78" t="s">
        <v>1445</v>
      </c>
      <c r="E254" s="78" t="s">
        <v>1446</v>
      </c>
      <c r="F254" s="78" t="s">
        <v>1441</v>
      </c>
      <c r="G254" s="78" t="s">
        <v>1106</v>
      </c>
      <c r="H254" s="78" t="s">
        <v>1172</v>
      </c>
      <c r="K254" t="e">
        <f t="shared" si="16"/>
        <v>#N/A</v>
      </c>
      <c r="N254" t="e">
        <f t="shared" si="17"/>
        <v>#N/A</v>
      </c>
      <c r="Q254" t="str">
        <f t="shared" si="18"/>
        <v/>
      </c>
    </row>
    <row r="255" spans="1:32" ht="24.95" customHeight="1" x14ac:dyDescent="0.25">
      <c r="A255" s="77">
        <f t="shared" si="19"/>
        <v>4</v>
      </c>
      <c r="B255" s="79" t="s">
        <v>681</v>
      </c>
      <c r="C255" s="78" t="s">
        <v>1444</v>
      </c>
      <c r="D255" s="78" t="s">
        <v>1447</v>
      </c>
      <c r="E255" s="78" t="s">
        <v>1448</v>
      </c>
      <c r="F255" s="78" t="s">
        <v>1441</v>
      </c>
      <c r="G255" s="78" t="s">
        <v>1106</v>
      </c>
      <c r="H255" s="78" t="s">
        <v>1172</v>
      </c>
      <c r="K255" t="e">
        <f t="shared" si="16"/>
        <v>#N/A</v>
      </c>
      <c r="N255" t="e">
        <f t="shared" si="17"/>
        <v>#N/A</v>
      </c>
      <c r="Q255" t="str">
        <f t="shared" si="18"/>
        <v/>
      </c>
    </row>
    <row r="256" spans="1:32" ht="24.95" customHeight="1" x14ac:dyDescent="0.25">
      <c r="A256" s="77">
        <f t="shared" si="19"/>
        <v>5</v>
      </c>
      <c r="B256" s="79" t="s">
        <v>681</v>
      </c>
      <c r="C256" s="78" t="s">
        <v>1449</v>
      </c>
      <c r="D256" s="78" t="s">
        <v>1450</v>
      </c>
      <c r="E256" s="78" t="s">
        <v>1451</v>
      </c>
      <c r="F256" s="78" t="s">
        <v>1441</v>
      </c>
      <c r="G256" s="78" t="s">
        <v>1106</v>
      </c>
      <c r="H256" s="78" t="s">
        <v>1452</v>
      </c>
      <c r="K256" t="e">
        <f t="shared" si="16"/>
        <v>#N/A</v>
      </c>
      <c r="N256" t="e">
        <f t="shared" si="17"/>
        <v>#N/A</v>
      </c>
      <c r="Q256" t="str">
        <f t="shared" si="18"/>
        <v/>
      </c>
    </row>
    <row r="257" spans="1:17" ht="24.95" customHeight="1" x14ac:dyDescent="0.25">
      <c r="A257" s="77">
        <f t="shared" si="19"/>
        <v>6</v>
      </c>
      <c r="B257" s="79" t="s">
        <v>681</v>
      </c>
      <c r="C257" s="78" t="s">
        <v>1449</v>
      </c>
      <c r="D257" s="78" t="s">
        <v>1453</v>
      </c>
      <c r="E257" s="78" t="s">
        <v>1454</v>
      </c>
      <c r="F257" s="78" t="s">
        <v>1441</v>
      </c>
      <c r="G257" s="78" t="s">
        <v>1106</v>
      </c>
      <c r="H257" s="78" t="s">
        <v>1452</v>
      </c>
      <c r="K257" t="e">
        <f t="shared" si="16"/>
        <v>#N/A</v>
      </c>
      <c r="N257" t="e">
        <f t="shared" si="17"/>
        <v>#N/A</v>
      </c>
      <c r="Q257" t="str">
        <f t="shared" si="18"/>
        <v/>
      </c>
    </row>
    <row r="258" spans="1:17" ht="24.95" customHeight="1" x14ac:dyDescent="0.25">
      <c r="A258" s="77">
        <f t="shared" si="19"/>
        <v>7</v>
      </c>
      <c r="B258" s="79" t="s">
        <v>895</v>
      </c>
      <c r="C258" s="78" t="s">
        <v>1455</v>
      </c>
      <c r="D258" s="78" t="s">
        <v>1456</v>
      </c>
      <c r="E258" s="78" t="s">
        <v>1457</v>
      </c>
      <c r="F258" s="78" t="s">
        <v>1441</v>
      </c>
      <c r="G258" s="78" t="s">
        <v>1106</v>
      </c>
      <c r="H258" s="78" t="s">
        <v>1271</v>
      </c>
      <c r="K258" t="e">
        <f t="shared" si="16"/>
        <v>#N/A</v>
      </c>
      <c r="N258" t="e">
        <f t="shared" si="17"/>
        <v>#N/A</v>
      </c>
      <c r="Q258" t="str">
        <f t="shared" si="18"/>
        <v/>
      </c>
    </row>
    <row r="259" spans="1:17" ht="24.95" customHeight="1" x14ac:dyDescent="0.25">
      <c r="A259" s="77">
        <f t="shared" si="19"/>
        <v>8</v>
      </c>
      <c r="B259" s="79" t="s">
        <v>895</v>
      </c>
      <c r="C259" s="78" t="s">
        <v>1458</v>
      </c>
      <c r="D259" s="78" t="s">
        <v>1294</v>
      </c>
      <c r="E259" s="78" t="s">
        <v>1459</v>
      </c>
      <c r="F259" s="78" t="s">
        <v>1441</v>
      </c>
      <c r="G259" s="78" t="s">
        <v>1106</v>
      </c>
      <c r="H259" s="78" t="s">
        <v>1142</v>
      </c>
      <c r="K259" t="e">
        <f t="shared" si="16"/>
        <v>#N/A</v>
      </c>
      <c r="N259" t="e">
        <f t="shared" si="17"/>
        <v>#N/A</v>
      </c>
      <c r="Q259" t="str">
        <f t="shared" si="18"/>
        <v/>
      </c>
    </row>
    <row r="260" spans="1:17" ht="24.95" customHeight="1" x14ac:dyDescent="0.25">
      <c r="A260" s="77">
        <f t="shared" si="19"/>
        <v>9</v>
      </c>
      <c r="B260" s="79" t="s">
        <v>895</v>
      </c>
      <c r="C260" s="78" t="s">
        <v>1458</v>
      </c>
      <c r="D260" s="78" t="s">
        <v>1296</v>
      </c>
      <c r="E260" s="78" t="s">
        <v>1460</v>
      </c>
      <c r="F260" s="78" t="s">
        <v>1441</v>
      </c>
      <c r="G260" s="78" t="s">
        <v>1106</v>
      </c>
      <c r="H260" s="78" t="s">
        <v>1142</v>
      </c>
      <c r="K260" t="e">
        <f t="shared" si="16"/>
        <v>#N/A</v>
      </c>
      <c r="N260" t="e">
        <f t="shared" si="17"/>
        <v>#N/A</v>
      </c>
      <c r="Q260" t="str">
        <f t="shared" si="18"/>
        <v/>
      </c>
    </row>
    <row r="261" spans="1:17" ht="24.95" customHeight="1" x14ac:dyDescent="0.25">
      <c r="A261" s="77">
        <f t="shared" si="19"/>
        <v>10</v>
      </c>
      <c r="B261" s="79" t="s">
        <v>895</v>
      </c>
      <c r="C261" s="78" t="s">
        <v>1461</v>
      </c>
      <c r="D261" s="78" t="s">
        <v>1317</v>
      </c>
      <c r="E261" s="78" t="s">
        <v>1462</v>
      </c>
      <c r="F261" s="78" t="s">
        <v>1441</v>
      </c>
      <c r="G261" s="78" t="s">
        <v>1106</v>
      </c>
      <c r="H261" s="78" t="s">
        <v>1463</v>
      </c>
      <c r="K261" t="e">
        <f t="shared" si="16"/>
        <v>#N/A</v>
      </c>
      <c r="N261" t="e">
        <f t="shared" si="17"/>
        <v>#N/A</v>
      </c>
      <c r="Q261" t="str">
        <f t="shared" si="18"/>
        <v/>
      </c>
    </row>
    <row r="262" spans="1:17" ht="24.95" customHeight="1" x14ac:dyDescent="0.25">
      <c r="A262" s="77">
        <f t="shared" si="19"/>
        <v>11</v>
      </c>
      <c r="B262" s="79" t="s">
        <v>895</v>
      </c>
      <c r="C262" s="78" t="s">
        <v>1461</v>
      </c>
      <c r="D262" s="78" t="s">
        <v>1319</v>
      </c>
      <c r="E262" s="78" t="s">
        <v>1464</v>
      </c>
      <c r="F262" s="78" t="s">
        <v>1441</v>
      </c>
      <c r="G262" s="78" t="s">
        <v>1106</v>
      </c>
      <c r="H262" s="78" t="s">
        <v>1463</v>
      </c>
      <c r="K262" t="e">
        <f t="shared" si="16"/>
        <v>#N/A</v>
      </c>
      <c r="N262" t="e">
        <f t="shared" si="17"/>
        <v>#N/A</v>
      </c>
      <c r="Q262" t="str">
        <f t="shared" si="18"/>
        <v/>
      </c>
    </row>
    <row r="263" spans="1:17" ht="24.95" customHeight="1" x14ac:dyDescent="0.25">
      <c r="A263" s="77">
        <f t="shared" si="19"/>
        <v>12</v>
      </c>
      <c r="B263" s="79" t="s">
        <v>895</v>
      </c>
      <c r="C263" s="78" t="s">
        <v>1465</v>
      </c>
      <c r="D263" s="78" t="s">
        <v>1466</v>
      </c>
      <c r="E263" s="78" t="s">
        <v>1467</v>
      </c>
      <c r="F263" s="78" t="s">
        <v>1441</v>
      </c>
      <c r="G263" s="78" t="s">
        <v>1106</v>
      </c>
      <c r="H263" s="78" t="s">
        <v>1107</v>
      </c>
      <c r="K263" t="e">
        <f t="shared" si="16"/>
        <v>#N/A</v>
      </c>
      <c r="N263" t="e">
        <f t="shared" si="17"/>
        <v>#N/A</v>
      </c>
      <c r="Q263" t="str">
        <f t="shared" si="18"/>
        <v/>
      </c>
    </row>
    <row r="264" spans="1:17" ht="24.95" customHeight="1" x14ac:dyDescent="0.25">
      <c r="A264" s="77">
        <f t="shared" si="19"/>
        <v>13</v>
      </c>
      <c r="B264" s="79" t="s">
        <v>895</v>
      </c>
      <c r="C264" s="78" t="s">
        <v>1465</v>
      </c>
      <c r="D264" s="78" t="s">
        <v>1468</v>
      </c>
      <c r="E264" s="78" t="s">
        <v>1469</v>
      </c>
      <c r="F264" s="78" t="s">
        <v>1441</v>
      </c>
      <c r="G264" s="78" t="s">
        <v>1106</v>
      </c>
      <c r="H264" s="78" t="s">
        <v>1107</v>
      </c>
      <c r="K264" t="e">
        <f t="shared" si="16"/>
        <v>#N/A</v>
      </c>
      <c r="N264" t="e">
        <f t="shared" si="17"/>
        <v>#N/A</v>
      </c>
      <c r="Q264" t="str">
        <f t="shared" si="18"/>
        <v/>
      </c>
    </row>
  </sheetData>
  <mergeCells count="31">
    <mergeCell ref="A251:H251"/>
    <mergeCell ref="T1:AA1"/>
    <mergeCell ref="AA2:AA3"/>
    <mergeCell ref="AC2:AC3"/>
    <mergeCell ref="E1:E3"/>
    <mergeCell ref="B1:B3"/>
    <mergeCell ref="C1:C3"/>
    <mergeCell ref="J1:R1"/>
    <mergeCell ref="V2:V3"/>
    <mergeCell ref="X2:X3"/>
    <mergeCell ref="M2:O2"/>
    <mergeCell ref="AB1:AD1"/>
    <mergeCell ref="AG1:AG3"/>
    <mergeCell ref="W2:W3"/>
    <mergeCell ref="A1:A3"/>
    <mergeCell ref="J2:L2"/>
    <mergeCell ref="H1:H3"/>
    <mergeCell ref="D1:D3"/>
    <mergeCell ref="F1:F3"/>
    <mergeCell ref="S1:S3"/>
    <mergeCell ref="Z2:Z3"/>
    <mergeCell ref="AB2:AB3"/>
    <mergeCell ref="T2:T3"/>
    <mergeCell ref="AE1:AE3"/>
    <mergeCell ref="AF1:AF3"/>
    <mergeCell ref="G1:G3"/>
    <mergeCell ref="P2:R2"/>
    <mergeCell ref="U2:U3"/>
    <mergeCell ref="I1:I3"/>
    <mergeCell ref="Y2:Y3"/>
    <mergeCell ref="AD2:AD3"/>
  </mergeCells>
  <dataValidations count="2">
    <dataValidation type="list" allowBlank="1" errorTitle="Invalid Line Number" error="Please select a valid Line Number" sqref="C4:C264" xr:uid="{00000000-0002-0000-0500-000000000000}">
      <formula1>LineNumbers</formula1>
    </dataValidation>
    <dataValidation type="list" allowBlank="1" errorTitle="Invalid Fluid" error="Please select a valid Fluid Category" sqref="I4:I264" xr:uid="{00000000-0002-0000-0500-000001000000}">
      <formula1>FluidCategories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tabSelected="1" workbookViewId="0">
      <selection activeCell="E8" sqref="E8"/>
    </sheetView>
  </sheetViews>
  <sheetFormatPr defaultRowHeight="15" x14ac:dyDescent="0.25"/>
  <cols>
    <col min="3" max="3" width="14.5703125" bestFit="1" customWidth="1"/>
    <col min="5" max="5" width="21.5703125" bestFit="1" customWidth="1"/>
    <col min="10" max="10" width="12.85546875" customWidth="1"/>
    <col min="20" max="20" width="12.5703125" customWidth="1"/>
    <col min="21" max="21" width="11.140625" customWidth="1"/>
    <col min="22" max="22" width="13.42578125" customWidth="1"/>
  </cols>
  <sheetData>
    <row r="1" spans="1:5" x14ac:dyDescent="0.25">
      <c r="A1" s="1" t="s">
        <v>1470</v>
      </c>
      <c r="B1" s="1" t="s">
        <v>1470</v>
      </c>
      <c r="C1" s="1" t="s">
        <v>1471</v>
      </c>
      <c r="D1" s="1" t="s">
        <v>1472</v>
      </c>
      <c r="E1" s="1" t="s">
        <v>1473</v>
      </c>
    </row>
    <row r="2" spans="1:5" x14ac:dyDescent="0.25">
      <c r="A2">
        <v>0</v>
      </c>
      <c r="B2" s="1">
        <v>15.76</v>
      </c>
      <c r="C2" s="96">
        <v>15</v>
      </c>
      <c r="D2" s="1">
        <v>21.3</v>
      </c>
      <c r="E2" s="96">
        <v>2.77</v>
      </c>
    </row>
    <row r="3" spans="1:5" x14ac:dyDescent="0.25">
      <c r="A3">
        <f>B2</f>
        <v>15.76</v>
      </c>
      <c r="B3" s="61">
        <f t="shared" ref="B3:B18" si="0">D3-2*E3</f>
        <v>26.64</v>
      </c>
      <c r="C3" s="62">
        <v>25</v>
      </c>
      <c r="D3" s="61">
        <v>33.4</v>
      </c>
      <c r="E3" s="63">
        <v>3.38</v>
      </c>
    </row>
    <row r="4" spans="1:5" x14ac:dyDescent="0.25">
      <c r="A4" s="61">
        <v>26.64</v>
      </c>
      <c r="B4" s="61">
        <f t="shared" si="0"/>
        <v>40.94</v>
      </c>
      <c r="C4" s="62">
        <v>40</v>
      </c>
      <c r="D4" s="61">
        <v>48.3</v>
      </c>
      <c r="E4" s="63">
        <v>3.68</v>
      </c>
    </row>
    <row r="5" spans="1:5" x14ac:dyDescent="0.25">
      <c r="A5" s="61">
        <v>40.94</v>
      </c>
      <c r="B5" s="61">
        <f t="shared" si="0"/>
        <v>52.48</v>
      </c>
      <c r="C5" s="62">
        <v>50</v>
      </c>
      <c r="D5" s="61">
        <v>60.3</v>
      </c>
      <c r="E5" s="63">
        <v>3.91</v>
      </c>
    </row>
    <row r="6" spans="1:5" x14ac:dyDescent="0.25">
      <c r="A6" s="61">
        <v>52.48</v>
      </c>
      <c r="B6" s="61">
        <f t="shared" si="0"/>
        <v>62.68</v>
      </c>
      <c r="C6" s="62">
        <v>65</v>
      </c>
      <c r="D6" s="61">
        <v>73</v>
      </c>
      <c r="E6" s="63">
        <v>5.16</v>
      </c>
    </row>
    <row r="7" spans="1:5" x14ac:dyDescent="0.25">
      <c r="A7" s="61">
        <v>62.68</v>
      </c>
      <c r="B7" s="61">
        <f t="shared" si="0"/>
        <v>77.92</v>
      </c>
      <c r="C7" s="62">
        <v>80</v>
      </c>
      <c r="D7" s="61">
        <v>88.9</v>
      </c>
      <c r="E7" s="63">
        <v>5.49</v>
      </c>
    </row>
    <row r="8" spans="1:5" x14ac:dyDescent="0.25">
      <c r="A8" s="61">
        <v>77.92</v>
      </c>
      <c r="B8" s="61">
        <f t="shared" si="0"/>
        <v>102.25999999999999</v>
      </c>
      <c r="C8" s="62">
        <v>100</v>
      </c>
      <c r="D8" s="61">
        <v>114.3</v>
      </c>
      <c r="E8" s="63">
        <v>6.02</v>
      </c>
    </row>
    <row r="9" spans="1:5" x14ac:dyDescent="0.25">
      <c r="A9" s="61">
        <v>102.26</v>
      </c>
      <c r="B9" s="61">
        <f t="shared" si="0"/>
        <v>154.08000000000001</v>
      </c>
      <c r="C9" s="62">
        <v>150</v>
      </c>
      <c r="D9" s="61">
        <v>168.3</v>
      </c>
      <c r="E9" s="63">
        <v>7.11</v>
      </c>
    </row>
    <row r="10" spans="1:5" x14ac:dyDescent="0.25">
      <c r="A10" s="61">
        <v>154.08000000000001</v>
      </c>
      <c r="B10" s="61">
        <f t="shared" si="0"/>
        <v>202.74</v>
      </c>
      <c r="C10" s="62">
        <v>200</v>
      </c>
      <c r="D10" s="61">
        <v>219.1</v>
      </c>
      <c r="E10" s="63">
        <v>8.18</v>
      </c>
    </row>
    <row r="11" spans="1:5" x14ac:dyDescent="0.25">
      <c r="A11" s="61">
        <v>202.74</v>
      </c>
      <c r="B11" s="61">
        <f t="shared" si="0"/>
        <v>254.56000000000003</v>
      </c>
      <c r="C11" s="62">
        <v>250</v>
      </c>
      <c r="D11" s="61">
        <v>273.10000000000002</v>
      </c>
      <c r="E11" s="63">
        <v>9.27</v>
      </c>
    </row>
    <row r="12" spans="1:5" x14ac:dyDescent="0.25">
      <c r="A12" s="61">
        <v>254.56</v>
      </c>
      <c r="B12" s="61">
        <f t="shared" si="0"/>
        <v>303.64</v>
      </c>
      <c r="C12" s="62">
        <v>300</v>
      </c>
      <c r="D12" s="61">
        <v>323.89999999999998</v>
      </c>
      <c r="E12" s="64">
        <v>10.130000000000001</v>
      </c>
    </row>
    <row r="13" spans="1:5" x14ac:dyDescent="0.25">
      <c r="A13" s="61">
        <v>303.64</v>
      </c>
      <c r="B13" s="61">
        <f t="shared" si="0"/>
        <v>333.34000000000003</v>
      </c>
      <c r="C13" s="61">
        <v>350</v>
      </c>
      <c r="D13" s="61">
        <v>355.6</v>
      </c>
      <c r="E13" s="64">
        <v>11.13</v>
      </c>
    </row>
    <row r="14" spans="1:5" x14ac:dyDescent="0.25">
      <c r="A14" s="61">
        <v>333.34</v>
      </c>
      <c r="B14" s="61">
        <f t="shared" si="0"/>
        <v>381</v>
      </c>
      <c r="C14" s="61">
        <v>400</v>
      </c>
      <c r="D14" s="61">
        <v>406.4</v>
      </c>
      <c r="E14" s="64">
        <v>12.7</v>
      </c>
    </row>
    <row r="15" spans="1:5" x14ac:dyDescent="0.25">
      <c r="A15" s="61">
        <v>381</v>
      </c>
      <c r="B15" s="61">
        <f t="shared" si="0"/>
        <v>428.6</v>
      </c>
      <c r="C15" s="61">
        <v>450</v>
      </c>
      <c r="D15" s="61">
        <v>457</v>
      </c>
      <c r="E15" s="64">
        <v>14.2</v>
      </c>
    </row>
    <row r="16" spans="1:5" x14ac:dyDescent="0.25">
      <c r="A16" s="61">
        <v>428.6</v>
      </c>
      <c r="B16" s="61">
        <f t="shared" si="0"/>
        <v>477.82</v>
      </c>
      <c r="C16" s="61">
        <v>500</v>
      </c>
      <c r="D16" s="61">
        <v>508</v>
      </c>
      <c r="E16" s="64">
        <v>15.09</v>
      </c>
    </row>
    <row r="17" spans="1:5" x14ac:dyDescent="0.25">
      <c r="A17" s="61">
        <v>477.82</v>
      </c>
      <c r="B17" s="61">
        <f t="shared" si="0"/>
        <v>524.04</v>
      </c>
      <c r="C17" s="61">
        <v>550</v>
      </c>
      <c r="D17" s="61">
        <v>559</v>
      </c>
      <c r="E17" s="64">
        <v>17.48</v>
      </c>
    </row>
    <row r="18" spans="1:5" x14ac:dyDescent="0.25">
      <c r="A18" s="61">
        <v>524.04</v>
      </c>
      <c r="B18" s="61">
        <f t="shared" si="0"/>
        <v>575.04</v>
      </c>
      <c r="C18" s="61">
        <v>600</v>
      </c>
      <c r="D18" s="61">
        <v>610</v>
      </c>
      <c r="E18" s="64">
        <v>17.48</v>
      </c>
    </row>
    <row r="19" spans="1:5" x14ac:dyDescent="0.25">
      <c r="A19" s="61">
        <v>575.04</v>
      </c>
      <c r="B19" s="1" t="s">
        <v>1474</v>
      </c>
      <c r="C19" s="1" t="s">
        <v>1474</v>
      </c>
      <c r="D19" s="1" t="s">
        <v>1474</v>
      </c>
      <c r="E19" s="1" t="s">
        <v>1474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6"/>
  <sheetViews>
    <sheetView workbookViewId="0"/>
  </sheetViews>
  <sheetFormatPr defaultRowHeight="15" x14ac:dyDescent="0.25"/>
  <sheetData>
    <row r="1" spans="1:1" x14ac:dyDescent="0.25">
      <c r="A1" t="s">
        <v>68</v>
      </c>
    </row>
    <row r="2" spans="1:1" x14ac:dyDescent="0.25">
      <c r="A2" t="s">
        <v>71</v>
      </c>
    </row>
    <row r="3" spans="1:1" x14ac:dyDescent="0.25">
      <c r="A3" t="s">
        <v>74</v>
      </c>
    </row>
    <row r="4" spans="1:1" x14ac:dyDescent="0.25">
      <c r="A4" t="s">
        <v>77</v>
      </c>
    </row>
    <row r="5" spans="1:1" x14ac:dyDescent="0.25">
      <c r="A5" t="s">
        <v>80</v>
      </c>
    </row>
    <row r="6" spans="1:1" x14ac:dyDescent="0.25">
      <c r="A6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DATA_DICTIONARY</vt:lpstr>
      <vt:lpstr>INPUT_DATA</vt:lpstr>
      <vt:lpstr>LIST_OF_EQUIPMENT</vt:lpstr>
      <vt:lpstr>LIST OF LINES</vt:lpstr>
      <vt:lpstr>LIST OF INSTRUMENTS</vt:lpstr>
      <vt:lpstr>LIST OF VALVES</vt:lpstr>
      <vt:lpstr>Pipe Table</vt:lpstr>
      <vt:lpstr>FluidList</vt:lpstr>
      <vt:lpstr>Densities</vt:lpstr>
      <vt:lpstr>Enthalpies</vt:lpstr>
      <vt:lpstr>EquipmentTags</vt:lpstr>
      <vt:lpstr>FlowRates_kghr</vt:lpstr>
      <vt:lpstr>FlowRates_kgs</vt:lpstr>
      <vt:lpstr>FluidCategories</vt:lpstr>
      <vt:lpstr>LineNumbers</vt:lpstr>
      <vt:lpstr>LineTags</vt:lpstr>
      <vt:lpstr>LOE_EquipNames</vt:lpstr>
      <vt:lpstr>LOE_EquipTags</vt:lpstr>
      <vt:lpstr>LOE_Pressures</vt:lpstr>
      <vt:lpstr>LOE_Temperatures</vt:lpstr>
      <vt:lpstr>LOL_LineNumbers</vt:lpstr>
      <vt:lpstr>LOL_LineTags</vt:lpstr>
      <vt:lpstr>PipeIDs</vt:lpstr>
      <vt:lpstr>PipeReference</vt:lpstr>
      <vt:lpstr>Pressures_bar</vt:lpstr>
      <vt:lpstr>Pressures_mbar</vt:lpstr>
      <vt:lpstr>'LIST OF LINES'!Print_Titles</vt:lpstr>
      <vt:lpstr>StreamData</vt:lpstr>
      <vt:lpstr>TDS_Values</vt:lpstr>
      <vt:lpstr>Temperatures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Design</cp:lastModifiedBy>
  <dcterms:created xsi:type="dcterms:W3CDTF">2025-12-01T11:31:49Z</dcterms:created>
  <dcterms:modified xsi:type="dcterms:W3CDTF">2025-12-06T05:51:03Z</dcterms:modified>
</cp:coreProperties>
</file>